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ThamSo" sheetId="2" state="visible" r:id="rId2"/>
    <sheet xmlns:r="http://schemas.openxmlformats.org/officeDocument/2006/relationships" name="KeHoach" sheetId="3" state="visible" r:id="rId3"/>
    <sheet xmlns:r="http://schemas.openxmlformats.org/officeDocument/2006/relationships" name="NhapLieu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x&quot;"/>
    <numFmt numFmtId="166" formatCode="0.0"/>
    <numFmt numFmtId="167" formatCode="#,##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B6B6B"/>
      <sz val="9"/>
    </font>
    <font>
      <name val="Arial"/>
      <color rgb="00008000"/>
      <sz val="10"/>
    </font>
    <font>
      <name val="Arial"/>
      <color rgb="0052514E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E8E6E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C9C7C1"/>
      </left>
      <right style="thin">
        <color rgb="00C9C7C1"/>
      </right>
      <top style="thin">
        <color rgb="00C9C7C1"/>
      </top>
      <bottom style="thin">
        <color rgb="00C9C7C1"/>
      </bottom>
    </border>
    <border>
      <left/>
      <right/>
      <top style="thin">
        <color rgb="00C9C7C1"/>
      </top>
      <bottom/>
      <diagonal/>
    </border>
    <border>
      <left/>
      <right style="thin">
        <color rgb="00C9C7C1"/>
      </right>
      <top style="thin">
        <color rgb="00C9C7C1"/>
      </top>
      <bottom/>
      <diagonal/>
    </border>
    <border>
      <left/>
      <right/>
      <top style="thin">
        <color rgb="00C9C7C1"/>
      </top>
      <bottom style="thin">
        <color rgb="00C9C7C1"/>
      </bottom>
      <diagonal/>
    </border>
    <border>
      <left/>
      <right style="thin">
        <color rgb="00C9C7C1"/>
      </right>
      <top style="thin">
        <color rgb="00C9C7C1"/>
      </top>
      <bottom style="thin">
        <color rgb="00C9C7C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4" fillId="3" borderId="1" pivotButton="0" quotePrefix="0" xfId="0"/>
    <xf numFmtId="4" fontId="4" fillId="3" borderId="1" pivotButton="0" quotePrefix="0" xfId="0"/>
    <xf numFmtId="165" fontId="4" fillId="3" borderId="1" pivotButton="0" quotePrefix="0" xfId="0"/>
    <xf numFmtId="9" fontId="4" fillId="3" borderId="1" pivotButton="0" quotePrefix="0" xfId="0"/>
    <xf numFmtId="166" fontId="4" fillId="3" borderId="1" pivotButton="0" quotePrefix="0" xfId="0"/>
    <xf numFmtId="10" fontId="4" fillId="3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3" fontId="4" fillId="0" borderId="1" pivotButton="0" quotePrefix="0" xfId="0"/>
    <xf numFmtId="3" fontId="3" fillId="0" borderId="1" pivotButton="0" quotePrefix="0" xfId="0"/>
    <xf numFmtId="167" fontId="4" fillId="0" borderId="1" pivotButton="0" quotePrefix="0" xfId="0"/>
    <xf numFmtId="167" fontId="3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3" fontId="8" fillId="0" borderId="1" pivotButton="0" quotePrefix="0" xfId="0"/>
    <xf numFmtId="9" fontId="8" fillId="0" borderId="1" pivotButton="0" quotePrefix="0" xfId="0"/>
    <xf numFmtId="9" fontId="3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4" fontId="5" fillId="4" borderId="1" pivotButton="0" quotePrefix="0" xfId="0"/>
    <xf numFmtId="166" fontId="5" fillId="4" borderId="1" pivotButton="0" quotePrefix="0" xfId="0"/>
    <xf numFmtId="0" fontId="8" fillId="4" borderId="1" pivotButton="0" quotePrefix="0" xfId="0"/>
    <xf numFmtId="3" fontId="4" fillId="3" borderId="1" pivotButton="0" quotePrefix="0" xfId="0"/>
    <xf numFmtId="4" fontId="3" fillId="0" borderId="1" pivotButton="0" quotePrefix="0" xfId="0"/>
    <xf numFmtId="1" fontId="3" fillId="0" borderId="1" pivotButton="0" quotePrefix="0" xfId="0"/>
    <xf numFmtId="3" fontId="6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9" fontId="6" fillId="0" borderId="1" pivotButton="0" quotePrefix="0" xfId="0"/>
    <xf numFmtId="164" fontId="8" fillId="0" borderId="1" pivotButton="0" quotePrefix="0" xfId="0"/>
    <xf numFmtId="164" fontId="6" fillId="0" borderId="1" pivotButton="0" quotePrefix="0" xfId="0"/>
    <xf numFmtId="165" fontId="8" fillId="0" borderId="1" pivotButton="0" quotePrefix="0" xfId="0"/>
    <xf numFmtId="165" fontId="6" fillId="0" borderId="1" pivotButton="0" quotePrefix="0" xfId="0"/>
    <xf numFmtId="10" fontId="8" fillId="0" borderId="1" pivotButton="0" quotePrefix="0" xfId="0"/>
    <xf numFmtId="0" fontId="7" fillId="0" borderId="1" pivotButton="0" quotePrefix="0" xfId="0"/>
    <xf numFmtId="166" fontId="8" fillId="0" borderId="1" pivotButton="0" quotePrefix="0" xfId="0"/>
    <xf numFmtId="0" fontId="8" fillId="0" borderId="4" pivotButton="0" quotePrefix="0" xfId="0"/>
    <xf numFmtId="0" fontId="8" fillId="0" borderId="5" pivotButton="0" quotePrefix="0" xfId="0"/>
    <xf numFmtId="0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9F2D9"/>
        </patternFill>
      </fill>
    </dxf>
    <dxf>
      <fill>
        <patternFill patternType="solid">
          <fgColor rgb="00FFF0C2"/>
        </patternFill>
      </fill>
    </dxf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theo tháng: thực tế và kế hoạch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'Dashboard'!B49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'Dashboard'!$C$48:$H$48</f>
            </numRef>
          </cat>
          <val>
            <numRef>
              <f>'Dashboard'!$C$49:$H$49</f>
            </numRef>
          </val>
        </ser>
        <ser>
          <idx val="1"/>
          <order val="1"/>
          <tx>
            <strRef>
              <f>'Dashboard'!B50</f>
            </strRef>
          </tx>
          <spPr>
            <a:solidFill xmlns:a="http://schemas.openxmlformats.org/drawingml/2006/main">
              <a:srgbClr val="B7D3F6"/>
            </a:solidFill>
            <a:ln xmlns:a="http://schemas.openxmlformats.org/drawingml/2006/main">
              <a:solidFill>
                <a:srgbClr val="B7D3F6"/>
              </a:solidFill>
              <a:prstDash val="solid"/>
            </a:ln>
          </spPr>
          <cat>
            <numRef>
              <f>'Dashboard'!$C$48:$H$48</f>
            </numRef>
          </cat>
          <val>
            <numRef>
              <f>'Dashboard'!$C$50:$H$50</f>
            </numRef>
          </val>
        </ser>
        <ser>
          <idx val="2"/>
          <order val="2"/>
          <tx>
            <strRef>
              <f>'Dashboard'!B51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'Dashboard'!$C$48:$H$48</f>
            </numRef>
          </cat>
          <val>
            <numRef>
              <f>'Dashboard'!$C$51:$H$51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Sell-through lũy kế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'Dashboard'!B52</f>
            </strRef>
          </tx>
          <spPr>
            <a:ln xmlns:a="http://schemas.openxmlformats.org/drawingml/2006/main" w="2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'Dashboard'!$C$48:$H$48</f>
            </numRef>
          </cat>
          <val>
            <numRef>
              <f>'Dashboard'!$C$52:$H$52</f>
            </numRef>
          </val>
        </ser>
        <ser>
          <idx val="1"/>
          <order val="1"/>
          <tx>
            <strRef>
              <f>'Dashboard'!B53</f>
            </strRef>
          </tx>
          <spPr>
            <a:ln xmlns:a="http://schemas.openxmlformats.org/drawingml/2006/main" w="22000">
              <a:solidFill>
                <a:srgbClr val="86B6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'Dashboard'!$C$48:$H$48</f>
            </numRef>
          </cat>
          <val>
            <numRef>
              <f>'Dashboard'!$C$53:$H$53</f>
            </numRef>
          </val>
        </ser>
        <ser>
          <idx val="2"/>
          <order val="2"/>
          <tx>
            <strRef>
              <f>'Dashboard'!B54</f>
            </strRef>
          </tx>
          <spPr>
            <a:ln xmlns:a="http://schemas.openxmlformats.org/drawingml/2006/main" w="22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'Dashboard'!$C$48:$H$48</f>
            </numRef>
          </cat>
          <val>
            <numRef>
              <f>'Dashboard'!$C$54:$H$54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n"/>
      <c r="B1" s="2" t="inlineStr">
        <is>
          <t>SIXDO – Dashboard đo lường Amazon US (01/10/2026 – 31/03/2027)</t>
        </is>
      </c>
    </row>
    <row r="2">
      <c r="A2" s="1" t="n"/>
      <c r="B2" s="1" t="n"/>
    </row>
    <row r="3">
      <c r="A3" s="1" t="n"/>
      <c r="B3" s="3" t="inlineStr">
        <is>
          <t>Mục đích</t>
        </is>
      </c>
    </row>
    <row r="4">
      <c r="A4" s="1" t="n"/>
      <c r="B4" s="4" t="inlineStr">
        <is>
          <t>Theo dõi chuỗi Traffic → CTR → CVR → Orders → Revenue, cùng duy trì doanh số, sell-through 110 units và khách mới. Đi kèm báo cáo Yêu cầu 06.</t>
        </is>
      </c>
    </row>
    <row r="5">
      <c r="A5" s="1" t="n"/>
      <c r="B5" s="3" t="inlineStr">
        <is>
          <t>Cách dùng mỗi tháng (ngày 1–3 của tháng sau)</t>
        </is>
      </c>
    </row>
    <row r="6">
      <c r="A6" s="1" t="n"/>
      <c r="B6" s="4" t="inlineStr">
        <is>
          <t>1. Mở sheet NhapLieu, điền các ô nền vàng chữ xanh cho tháng vừa qua, mỗi SKU một dòng. Nguồn từng cột ghi ở dòng tiêu đề.</t>
        </is>
      </c>
    </row>
    <row r="7">
      <c r="A7" s="1" t="n"/>
      <c r="B7" s="4" t="inlineStr">
        <is>
          <t>2. Mở sheet Dashboard, chọn tháng ở ô C3. Các chỉ số, trạng thái và biểu đồ tự cập nhật.</t>
        </is>
      </c>
    </row>
    <row r="8">
      <c r="A8" s="1" t="n"/>
      <c r="B8" s="4" t="inlineStr">
        <is>
          <t>3. Đối chiếu cột "Trạng thái" với quy tắc quyết định trong báo cáo Yêu cầu 06 mục 6 và Yêu cầu 02 mục 1.4.</t>
        </is>
      </c>
    </row>
    <row r="9">
      <c r="A9" s="1" t="n"/>
      <c r="B9" s="3" t="inlineStr">
        <is>
          <t>Quy ước màu</t>
        </is>
      </c>
    </row>
    <row r="10">
      <c r="A10" s="1" t="n"/>
      <c r="B10" s="4" t="inlineStr">
        <is>
          <t>Chữ xanh trên nền vàng: ô nhập tay. Chữ đen: công thức. Chữ xanh lá: lấy từ sheet khác. Không sửa ô công thức.</t>
        </is>
      </c>
    </row>
    <row r="11">
      <c r="A11" s="1" t="n"/>
      <c r="B11" s="4" t="inlineStr">
        <is>
          <t>Trạng thái: "Đạt" (xanh) · "Theo dõi" (vàng) · "Cảnh báo" (đỏ). Ngưỡng nằm ở sheet ThamSo.</t>
        </is>
      </c>
    </row>
    <row r="12">
      <c r="A12" s="1" t="n"/>
      <c r="B12" s="3" t="inlineStr">
        <is>
          <t>Các sheet</t>
        </is>
      </c>
    </row>
    <row r="13">
      <c r="A13" s="1" t="n"/>
      <c r="B13" s="4" t="inlineStr">
        <is>
          <t>ThamSo: baseline, giá, tồn đầu kỳ, ngưỡng cảnh báo. KeHoach: kế hoạch theo tháng, kịch bản cơ sở (71 units) và mục tiêu (110 units), tính từ Yêu cầu 02.</t>
        </is>
      </c>
    </row>
    <row r="14">
      <c r="A14" s="1" t="n"/>
      <c r="B14" s="4" t="inlineStr">
        <is>
          <t>NhapLieu: số thực tế theo tháng × SKU. Dashboard: chỉ số, so với kế hoạch, trạng thái, biểu đồ, bảng tồn theo SKU.</t>
        </is>
      </c>
    </row>
    <row r="15">
      <c r="A15" s="1" t="n"/>
      <c r="B15" s="3" t="inlineStr">
        <is>
          <t>Lưu ý</t>
        </is>
      </c>
    </row>
    <row r="16">
      <c r="A16" s="1" t="n"/>
      <c r="B16" s="4" t="inlineStr">
        <is>
          <t>Sessions tự nhiên = tổng sessions − click PPC − click ngoài sàn, để không đếm trùng. CVR ngoài sàn đo riêng bằng Amazon Attribution.</t>
        </is>
      </c>
    </row>
    <row r="17">
      <c r="A17" s="1" t="n"/>
      <c r="B17" s="4" t="inlineStr">
        <is>
          <t>Kế hoạch là giả định [GĐ] và sẽ được thay bằng baseline thật sau 07/10/2026 (sheet ThamSo, ô C4).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2" max="2"/>
    <col width="14" customWidth="1" min="3" max="3"/>
    <col width="60" customWidth="1" min="4" max="4"/>
  </cols>
  <sheetData>
    <row r="1">
      <c r="A1" s="1" t="n"/>
      <c r="B1" s="2" t="inlineStr">
        <is>
          <t>Tham số và ngưỡng</t>
        </is>
      </c>
      <c r="C1" s="1" t="n"/>
      <c r="D1" s="1" t="n"/>
    </row>
    <row r="2">
      <c r="A2" s="1" t="n"/>
      <c r="B2" s="1" t="n"/>
      <c r="C2" s="1" t="n"/>
      <c r="D2" s="1" t="n"/>
    </row>
    <row r="3">
      <c r="A3" s="1" t="n"/>
      <c r="B3" s="5" t="inlineStr">
        <is>
          <t>Tham số</t>
        </is>
      </c>
      <c r="C3" s="5" t="inlineStr">
        <is>
          <t>Giá trị</t>
        </is>
      </c>
      <c r="D3" s="5" t="inlineStr">
        <is>
          <t>Nguồn / ghi chú</t>
        </is>
      </c>
    </row>
    <row r="4">
      <c r="A4" s="1" t="n"/>
      <c r="B4" s="6" t="inlineStr">
        <is>
          <t>Unit Session % baseline</t>
        </is>
      </c>
      <c r="C4" s="7" t="n">
        <v>0.06</v>
      </c>
      <c r="D4" s="6" t="inlineStr">
        <is>
          <t>[GĐ] YC02; thay bằng Business Report 90 ngày trước 01/10</t>
        </is>
      </c>
    </row>
    <row r="5">
      <c r="A5" s="1" t="n"/>
      <c r="B5" s="6" t="inlineStr">
        <is>
          <t>CVR traffic ngoài sàn</t>
        </is>
      </c>
      <c r="C5" s="7" t="n">
        <v>0.04</v>
      </c>
      <c r="D5" s="6" t="inlineStr">
        <is>
          <t>[GĐ] YC02 kịch bản cơ sở</t>
        </is>
      </c>
    </row>
    <row r="6">
      <c r="A6" s="1" t="n"/>
      <c r="B6" s="6" t="inlineStr">
        <is>
          <t>Giá niêm yết SP1, SP2 (USD)</t>
        </is>
      </c>
      <c r="C6" s="8" t="n">
        <v>51.99</v>
      </c>
      <c r="D6" s="6" t="inlineStr">
        <is>
          <t>[XN] đề bài</t>
        </is>
      </c>
    </row>
    <row r="7">
      <c r="A7" s="1" t="n"/>
      <c r="B7" s="6" t="inlineStr">
        <is>
          <t>Giá niêm yết SP3 (USD)</t>
        </is>
      </c>
      <c r="C7" s="8" t="n">
        <v>25.99</v>
      </c>
      <c r="D7" s="6" t="inlineStr">
        <is>
          <t>[XN] đề bài</t>
        </is>
      </c>
    </row>
    <row r="8">
      <c r="A8" s="1" t="n"/>
      <c r="B8" s="6" t="inlineStr">
        <is>
          <t>Mục tiêu uplift CVR (lần baseline)</t>
        </is>
      </c>
      <c r="C8" s="9" t="n">
        <v>1.5</v>
      </c>
      <c r="D8" s="6" t="inlineStr">
        <is>
          <t>Đề bài: uplift CVR 50%</t>
        </is>
      </c>
    </row>
    <row r="9">
      <c r="A9" s="1" t="n"/>
      <c r="B9" s="6" t="inlineStr">
        <is>
          <t>Ngưỡng "Đạt": % kế hoạch units</t>
        </is>
      </c>
      <c r="C9" s="10" t="n">
        <v>0.9</v>
      </c>
      <c r="D9" s="6" t="inlineStr">
        <is>
          <t>Nội bộ</t>
        </is>
      </c>
    </row>
    <row r="10">
      <c r="A10" s="1" t="n"/>
      <c r="B10" s="6" t="inlineStr">
        <is>
          <t>Ngưỡng "Cảnh báo": % kế hoạch units dưới</t>
        </is>
      </c>
      <c r="C10" s="10" t="n">
        <v>0.7</v>
      </c>
      <c r="D10" s="6" t="inlineStr">
        <is>
          <t>Nội bộ</t>
        </is>
      </c>
    </row>
    <row r="11">
      <c r="A11" s="1" t="n"/>
      <c r="B11" s="6" t="inlineStr">
        <is>
          <t>Giá bán TB tối thiểu (% niêm yết)</t>
        </is>
      </c>
      <c r="C11" s="10" t="n">
        <v>0.95</v>
      </c>
      <c r="D11" s="6" t="inlineStr">
        <is>
          <t>YC02 KPI giữ giá</t>
        </is>
      </c>
    </row>
    <row r="12">
      <c r="A12" s="1" t="n"/>
      <c r="B12" s="6" t="inlineStr">
        <is>
          <t>ACoS tối đa SP1, SP2 (hòa vốn B)</t>
        </is>
      </c>
      <c r="C12" s="7" t="n">
        <v>0.461</v>
      </c>
      <c r="D12" s="6" t="inlineStr">
        <is>
          <t>YC02 mục 5</t>
        </is>
      </c>
    </row>
    <row r="13">
      <c r="A13" s="1" t="n"/>
      <c r="B13" s="6" t="inlineStr">
        <is>
          <t>ACoS tối đa SP3 (hòa vốn B)</t>
        </is>
      </c>
      <c r="C13" s="7" t="n">
        <v>0.365</v>
      </c>
      <c r="D13" s="6" t="inlineStr">
        <is>
          <t>YC02 mục 5</t>
        </is>
      </c>
    </row>
    <row r="14">
      <c r="A14" s="1" t="n"/>
      <c r="B14" s="6" t="inlineStr">
        <is>
          <t>Tỷ lệ hoàn tối đa</t>
        </is>
      </c>
      <c r="C14" s="10" t="n">
        <v>0.2</v>
      </c>
      <c r="D14" s="6" t="inlineStr">
        <is>
          <t>YC02 KPI chất lượng</t>
        </is>
      </c>
    </row>
    <row r="15">
      <c r="A15" s="1" t="n"/>
      <c r="B15" s="6" t="inlineStr">
        <is>
          <t>Rating tối thiểu</t>
        </is>
      </c>
      <c r="C15" s="11" t="n">
        <v>4.3</v>
      </c>
      <c r="D15" s="6" t="inlineStr">
        <is>
          <t>YC02 KPI chất lượng</t>
        </is>
      </c>
    </row>
    <row r="16">
      <c r="A16" s="1" t="n"/>
      <c r="B16" s="6" t="inlineStr">
        <is>
          <t>CTR tìm kiếm tối thiểu (SQP)</t>
        </is>
      </c>
      <c r="C16" s="12" t="n">
        <v>0.004</v>
      </c>
      <c r="D16" s="6" t="inlineStr">
        <is>
          <t>[GĐ] mốc tạm; thay bằng CTR tháng 10 thực tế</t>
        </is>
      </c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5" t="inlineStr">
        <is>
          <t>Tồn đầu kỳ theo SKU</t>
        </is>
      </c>
      <c r="C19" s="5" t="inlineStr">
        <is>
          <t>Units</t>
        </is>
      </c>
      <c r="D19" s="5" t="inlineStr">
        <is>
          <t>Nguồn</t>
        </is>
      </c>
    </row>
    <row r="20">
      <c r="A20" s="1" t="n"/>
      <c r="B20" s="6" t="inlineStr">
        <is>
          <t>SP1</t>
        </is>
      </c>
      <c r="C20" s="13" t="n">
        <v>20</v>
      </c>
      <c r="D20" s="6" t="inlineStr">
        <is>
          <t>[GĐ] YC02; thay bằng Manage FBA Inventory 01/10</t>
        </is>
      </c>
    </row>
    <row r="21">
      <c r="A21" s="1" t="n"/>
      <c r="B21" s="6" t="inlineStr">
        <is>
          <t>SP2 xanh</t>
        </is>
      </c>
      <c r="C21" s="13" t="n">
        <v>20</v>
      </c>
      <c r="D21" s="6" t="inlineStr">
        <is>
          <t>[GĐ] YC02; thay bằng Manage FBA Inventory 01/10</t>
        </is>
      </c>
    </row>
    <row r="22">
      <c r="A22" s="1" t="n"/>
      <c r="B22" s="6" t="inlineStr">
        <is>
          <t>SP2 vàng</t>
        </is>
      </c>
      <c r="C22" s="13" t="n">
        <v>20</v>
      </c>
      <c r="D22" s="6" t="inlineStr">
        <is>
          <t>[GĐ] YC02; thay bằng Manage FBA Inventory 01/10</t>
        </is>
      </c>
    </row>
    <row r="23">
      <c r="A23" s="1" t="n"/>
      <c r="B23" s="6" t="inlineStr">
        <is>
          <t>SP3 đen</t>
        </is>
      </c>
      <c r="C23" s="13" t="n">
        <v>25</v>
      </c>
      <c r="D23" s="6" t="inlineStr">
        <is>
          <t>[GĐ] YC02; thay bằng Manage FBA Inventory 01/10</t>
        </is>
      </c>
    </row>
    <row r="24">
      <c r="A24" s="1" t="n"/>
      <c r="B24" s="6" t="inlineStr">
        <is>
          <t>SP3 hồng</t>
        </is>
      </c>
      <c r="C24" s="13" t="n">
        <v>25</v>
      </c>
      <c r="D24" s="6" t="inlineStr">
        <is>
          <t>[GĐ] YC02; thay bằng Manage FBA Inventory 01/10</t>
        </is>
      </c>
    </row>
    <row r="25">
      <c r="A25" s="1" t="n"/>
      <c r="B25" s="14" t="inlineStr">
        <is>
          <t>Tổng</t>
        </is>
      </c>
      <c r="C25" s="14">
        <f>SUM(C20:C24)</f>
        <v/>
      </c>
      <c r="D25" s="14" t="n"/>
    </row>
    <row r="26">
      <c r="A26" s="1" t="n"/>
      <c r="B26" s="1" t="n"/>
      <c r="C26" s="1" t="n"/>
      <c r="D26" s="1" t="n"/>
    </row>
    <row r="27">
      <c r="A27" s="1" t="n"/>
      <c r="B27" s="15" t="inlineStr">
        <is>
          <t>Danh sách tháng</t>
        </is>
      </c>
      <c r="C27" s="1" t="n"/>
      <c r="D27" s="1" t="n"/>
    </row>
    <row r="28">
      <c r="A28" s="1" t="n"/>
      <c r="B28" s="16" t="inlineStr">
        <is>
          <t>T10</t>
        </is>
      </c>
      <c r="C28" s="1" t="n"/>
      <c r="D28" s="1" t="n"/>
    </row>
    <row r="29">
      <c r="A29" s="1" t="n"/>
      <c r="B29" s="16" t="inlineStr">
        <is>
          <t>T11</t>
        </is>
      </c>
      <c r="C29" s="1" t="n"/>
      <c r="D29" s="1" t="n"/>
    </row>
    <row r="30">
      <c r="A30" s="1" t="n"/>
      <c r="B30" s="16" t="inlineStr">
        <is>
          <t>T12</t>
        </is>
      </c>
      <c r="C30" s="1" t="n"/>
      <c r="D30" s="1" t="n"/>
    </row>
    <row r="31">
      <c r="A31" s="1" t="n"/>
      <c r="B31" s="16" t="inlineStr">
        <is>
          <t>T1</t>
        </is>
      </c>
      <c r="C31" s="1" t="n"/>
      <c r="D31" s="1" t="n"/>
    </row>
    <row r="32">
      <c r="A32" s="1" t="n"/>
      <c r="B32" s="16" t="inlineStr">
        <is>
          <t>T2</t>
        </is>
      </c>
      <c r="C32" s="1" t="n"/>
      <c r="D32" s="1" t="n"/>
    </row>
    <row r="33">
      <c r="A33" s="1" t="n"/>
      <c r="B33" s="16" t="inlineStr">
        <is>
          <t>T3</t>
        </is>
      </c>
      <c r="C33" s="1" t="n"/>
      <c r="D33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>
      <c r="A1" s="1" t="n"/>
      <c r="B1" s="2" t="inlineStr">
        <is>
          <t>Kế hoạch theo tháng (tính từ Yêu cầu 02)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7" t="inlineStr">
        <is>
          <t>Units = (sessions tự nhiên + click PPC) × Unit Session % + click ngoài sàn × CVR ngoài sàn. Ô chữ xanh là giả định [GĐ], sửa được.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Kịch bản cơ sở (71 units)</t>
        </is>
      </c>
      <c r="C4" s="5" t="inlineStr">
        <is>
          <t>T10</t>
        </is>
      </c>
      <c r="D4" s="5" t="inlineStr">
        <is>
          <t>T11</t>
        </is>
      </c>
      <c r="E4" s="5" t="inlineStr">
        <is>
          <t>T12</t>
        </is>
      </c>
      <c r="F4" s="5" t="inlineStr">
        <is>
          <t>T1</t>
        </is>
      </c>
      <c r="G4" s="5" t="inlineStr">
        <is>
          <t>T2</t>
        </is>
      </c>
      <c r="H4" s="5" t="inlineStr">
        <is>
          <t>T3</t>
        </is>
      </c>
      <c r="I4" s="18" t="inlineStr">
        <is>
          <t>Tổng</t>
        </is>
      </c>
      <c r="J4" s="18" t="inlineStr">
        <is>
          <t>Nguồn</t>
        </is>
      </c>
    </row>
    <row r="5">
      <c r="A5" s="1" t="n"/>
      <c r="B5" s="6" t="inlineStr">
        <is>
          <t>Sessions tự nhiên</t>
        </is>
      </c>
      <c r="C5" s="19" t="n">
        <v>95</v>
      </c>
      <c r="D5" s="19" t="n">
        <v>120</v>
      </c>
      <c r="E5" s="19" t="n">
        <v>120</v>
      </c>
      <c r="F5" s="19" t="n">
        <v>115</v>
      </c>
      <c r="G5" s="19" t="n">
        <v>100</v>
      </c>
      <c r="H5" s="19" t="n">
        <v>105</v>
      </c>
      <c r="I5" s="20">
        <f>SUM(C5:H5)</f>
        <v/>
      </c>
      <c r="J5" s="6" t="inlineStr">
        <is>
          <t>YC02 mục 1.3 (cơ sở 655; mục tiêu 922)</t>
        </is>
      </c>
    </row>
    <row r="6">
      <c r="A6" s="1" t="n"/>
      <c r="B6" s="6" t="inlineStr">
        <is>
          <t>Click PPC</t>
        </is>
      </c>
      <c r="C6" s="21" t="n">
        <v>33.3</v>
      </c>
      <c r="D6" s="21" t="n">
        <v>44</v>
      </c>
      <c r="E6" s="21" t="n">
        <v>34.5</v>
      </c>
      <c r="F6" s="21" t="n">
        <v>68.90000000000001</v>
      </c>
      <c r="G6" s="21" t="n">
        <v>31.1</v>
      </c>
      <c r="H6" s="21" t="n">
        <v>21.8</v>
      </c>
      <c r="I6" s="22">
        <f>SUM(C6:H6)</f>
        <v/>
      </c>
      <c r="J6" s="6" t="inlineStr">
        <is>
          <t>YC02 bảng lịch PPC (234 click)</t>
        </is>
      </c>
    </row>
    <row r="7">
      <c r="A7" s="1" t="n"/>
      <c r="B7" s="6" t="inlineStr">
        <is>
          <t>Click ngoài sàn</t>
        </is>
      </c>
      <c r="C7" s="19" t="n">
        <v>10</v>
      </c>
      <c r="D7" s="19" t="n">
        <v>20</v>
      </c>
      <c r="E7" s="19" t="n">
        <v>10</v>
      </c>
      <c r="F7" s="19" t="n">
        <v>25</v>
      </c>
      <c r="G7" s="19" t="n">
        <v>35</v>
      </c>
      <c r="H7" s="19" t="n">
        <v>20</v>
      </c>
      <c r="I7" s="20">
        <f>SUM(C7:H7)</f>
        <v/>
      </c>
      <c r="J7" s="6" t="inlineStr">
        <is>
          <t>YC02, YC04 (cơ sở 120; mục tiêu 150)</t>
        </is>
      </c>
    </row>
    <row r="8">
      <c r="A8" s="1" t="n"/>
      <c r="B8" s="6" t="inlineStr">
        <is>
          <t>Unit Session % (Amazon)</t>
        </is>
      </c>
      <c r="C8" s="23" t="n">
        <v>0.06</v>
      </c>
      <c r="D8" s="23" t="n">
        <v>0.065</v>
      </c>
      <c r="E8" s="23" t="n">
        <v>0.075</v>
      </c>
      <c r="F8" s="23" t="n">
        <v>0.075</v>
      </c>
      <c r="G8" s="23" t="n">
        <v>0.08500000000000001</v>
      </c>
      <c r="H8" s="23" t="n">
        <v>0.09</v>
      </c>
      <c r="I8" s="6" t="n"/>
      <c r="J8" s="6" t="inlineStr">
        <is>
          <t>Cơ sở tăng dần 6% → 9%; mục tiêu 9% cả kỳ</t>
        </is>
      </c>
    </row>
    <row r="9">
      <c r="A9" s="1" t="n"/>
      <c r="B9" s="6" t="inlineStr">
        <is>
          <t>Chi PPC (USD)</t>
        </is>
      </c>
      <c r="C9" s="19" t="n">
        <v>30</v>
      </c>
      <c r="D9" s="19" t="n">
        <v>30</v>
      </c>
      <c r="E9" s="19" t="n">
        <v>19</v>
      </c>
      <c r="F9" s="19" t="n">
        <v>62</v>
      </c>
      <c r="G9" s="19" t="n">
        <v>28</v>
      </c>
      <c r="H9" s="19" t="n">
        <v>12</v>
      </c>
      <c r="I9" s="20">
        <f>SUM(C9:H9)</f>
        <v/>
      </c>
      <c r="J9" s="6" t="inlineStr">
        <is>
          <t>YC02 mục 9</t>
        </is>
      </c>
    </row>
    <row r="10">
      <c r="A10" s="1" t="n"/>
      <c r="B10" s="6" t="inlineStr">
        <is>
          <t>Tỷ trọng units SP1, SP2</t>
        </is>
      </c>
      <c r="C10" s="24" t="n">
        <v>0.7</v>
      </c>
      <c r="D10" s="24" t="n">
        <v>0.54</v>
      </c>
      <c r="E10" s="24" t="n">
        <v>0.33</v>
      </c>
      <c r="F10" s="24" t="n">
        <v>0.73</v>
      </c>
      <c r="G10" s="24" t="n">
        <v>0.64</v>
      </c>
      <c r="H10" s="24" t="n">
        <v>0.6</v>
      </c>
      <c r="I10" s="6" t="n"/>
      <c r="J10" s="6" t="inlineStr">
        <is>
          <t>YC02, cơ cấu SKU theo tháng</t>
        </is>
      </c>
    </row>
    <row r="11">
      <c r="A11" s="1" t="n"/>
      <c r="B11" s="6" t="inlineStr">
        <is>
          <t>Tỷ lệ units từ truy vấn theo dịp</t>
        </is>
      </c>
      <c r="C11" s="24" t="n">
        <v>0.2</v>
      </c>
      <c r="D11" s="24" t="n">
        <v>0.25</v>
      </c>
      <c r="E11" s="24" t="n">
        <v>0.3</v>
      </c>
      <c r="F11" s="24" t="n">
        <v>0.4</v>
      </c>
      <c r="G11" s="24" t="n">
        <v>0.45</v>
      </c>
      <c r="H11" s="24" t="n">
        <v>0.5</v>
      </c>
      <c r="I11" s="6" t="n"/>
      <c r="J11" s="6" t="inlineStr">
        <is>
          <t>YC02 KPI: 20% → 50%</t>
        </is>
      </c>
    </row>
    <row r="12">
      <c r="A12" s="1" t="n"/>
      <c r="B12" s="6" t="inlineStr">
        <is>
          <t>Sessions tổng</t>
        </is>
      </c>
      <c r="C12" s="20">
        <f>C5+C6+C7</f>
        <v/>
      </c>
      <c r="D12" s="20">
        <f>D5+D6+D7</f>
        <v/>
      </c>
      <c r="E12" s="20">
        <f>E5+E6+E7</f>
        <v/>
      </c>
      <c r="F12" s="20">
        <f>F5+F6+F7</f>
        <v/>
      </c>
      <c r="G12" s="20">
        <f>G5+G6+G7</f>
        <v/>
      </c>
      <c r="H12" s="20">
        <f>H5+H6+H7</f>
        <v/>
      </c>
      <c r="I12" s="20">
        <f>SUM(C12:H12)</f>
        <v/>
      </c>
      <c r="J12" s="6" t="n"/>
    </row>
    <row r="13">
      <c r="A13" s="1" t="n"/>
      <c r="B13" s="6" t="inlineStr">
        <is>
          <t>Units kế hoạch</t>
        </is>
      </c>
      <c r="C13" s="20">
        <f>ROUND((C5+C6)*C8+C7*ThamSo!$C$5,0)</f>
        <v/>
      </c>
      <c r="D13" s="20">
        <f>ROUND((D5+D6)*D8+D7*ThamSo!$C$5,0)</f>
        <v/>
      </c>
      <c r="E13" s="20">
        <f>ROUND((E5+E6)*E8+E7*ThamSo!$C$5,0)</f>
        <v/>
      </c>
      <c r="F13" s="20">
        <f>ROUND((F5+F6)*F8+F7*ThamSo!$C$5,0)</f>
        <v/>
      </c>
      <c r="G13" s="20">
        <f>ROUND((G5+G6)*G8+G7*ThamSo!$C$5,0)</f>
        <v/>
      </c>
      <c r="H13" s="20">
        <f>ROUND((H5+H6)*H8+H7*ThamSo!$C$5,0)</f>
        <v/>
      </c>
      <c r="I13" s="20">
        <f>SUM(C13:H13)</f>
        <v/>
      </c>
      <c r="J13" s="6" t="n"/>
    </row>
    <row r="14">
      <c r="A14" s="1" t="n"/>
      <c r="B14" s="25" t="inlineStr">
        <is>
          <t>Units lũy kế</t>
        </is>
      </c>
      <c r="C14" s="20">
        <f>C13</f>
        <v/>
      </c>
      <c r="D14" s="20">
        <f>C14+D13</f>
        <v/>
      </c>
      <c r="E14" s="20">
        <f>D14+E13</f>
        <v/>
      </c>
      <c r="F14" s="20">
        <f>E14+F13</f>
        <v/>
      </c>
      <c r="G14" s="20">
        <f>F14+G13</f>
        <v/>
      </c>
      <c r="H14" s="20">
        <f>G14+H13</f>
        <v/>
      </c>
      <c r="I14" s="25" t="n"/>
      <c r="J14" s="25" t="n"/>
    </row>
    <row r="15">
      <c r="A15" s="1" t="n"/>
      <c r="B15" s="26" t="inlineStr">
        <is>
          <t>Sell-through lũy kế (% của tồn đầu kỳ)</t>
        </is>
      </c>
      <c r="C15" s="27">
        <f>C14/ThamSo!$C$25</f>
        <v/>
      </c>
      <c r="D15" s="27">
        <f>D14/ThamSo!$C$25</f>
        <v/>
      </c>
      <c r="E15" s="27">
        <f>E14/ThamSo!$C$25</f>
        <v/>
      </c>
      <c r="F15" s="27">
        <f>F14/ThamSo!$C$25</f>
        <v/>
      </c>
      <c r="G15" s="27">
        <f>G14/ThamSo!$C$25</f>
        <v/>
      </c>
      <c r="H15" s="27">
        <f>H14/ThamSo!$C$25</f>
        <v/>
      </c>
      <c r="I15" s="26" t="n"/>
      <c r="J15" s="26" t="n"/>
    </row>
    <row r="16">
      <c r="A16" s="1" t="n"/>
      <c r="B16" s="25" t="inlineStr">
        <is>
          <t>Doanh số theo giá niêm yết (USD)</t>
        </is>
      </c>
      <c r="C16" s="20">
        <f>C13*(C10*ThamSo!$C$6+(1-C10)*ThamSo!$C$7)</f>
        <v/>
      </c>
      <c r="D16" s="20">
        <f>D13*(D10*ThamSo!$C$6+(1-D10)*ThamSo!$C$7)</f>
        <v/>
      </c>
      <c r="E16" s="20">
        <f>E13*(E10*ThamSo!$C$6+(1-E10)*ThamSo!$C$7)</f>
        <v/>
      </c>
      <c r="F16" s="20">
        <f>F13*(F10*ThamSo!$C$6+(1-F10)*ThamSo!$C$7)</f>
        <v/>
      </c>
      <c r="G16" s="20">
        <f>G13*(G10*ThamSo!$C$6+(1-G10)*ThamSo!$C$7)</f>
        <v/>
      </c>
      <c r="H16" s="20">
        <f>H13*(H10*ThamSo!$C$6+(1-H10)*ThamSo!$C$7)</f>
        <v/>
      </c>
      <c r="I16" s="20">
        <f>SUM(C16:H16)</f>
        <v/>
      </c>
      <c r="J16" s="25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8" t="inlineStr">
        <is>
          <t>Kịch bản mục tiêu (110 units)</t>
        </is>
      </c>
      <c r="C19" s="5" t="inlineStr">
        <is>
          <t>T10</t>
        </is>
      </c>
      <c r="D19" s="5" t="inlineStr">
        <is>
          <t>T11</t>
        </is>
      </c>
      <c r="E19" s="5" t="inlineStr">
        <is>
          <t>T12</t>
        </is>
      </c>
      <c r="F19" s="5" t="inlineStr">
        <is>
          <t>T1</t>
        </is>
      </c>
      <c r="G19" s="5" t="inlineStr">
        <is>
          <t>T2</t>
        </is>
      </c>
      <c r="H19" s="5" t="inlineStr">
        <is>
          <t>T3</t>
        </is>
      </c>
      <c r="I19" s="18" t="inlineStr">
        <is>
          <t>Tổng</t>
        </is>
      </c>
      <c r="J19" s="18" t="inlineStr">
        <is>
          <t>Nguồn</t>
        </is>
      </c>
    </row>
    <row r="20">
      <c r="A20" s="1" t="n"/>
      <c r="B20" s="6" t="inlineStr">
        <is>
          <t>Sessions tự nhiên</t>
        </is>
      </c>
      <c r="C20" s="19" t="n">
        <v>134</v>
      </c>
      <c r="D20" s="19" t="n">
        <v>169</v>
      </c>
      <c r="E20" s="19" t="n">
        <v>169</v>
      </c>
      <c r="F20" s="19" t="n">
        <v>162</v>
      </c>
      <c r="G20" s="19" t="n">
        <v>141</v>
      </c>
      <c r="H20" s="19" t="n">
        <v>148</v>
      </c>
      <c r="I20" s="20">
        <f>SUM(C20:H20)</f>
        <v/>
      </c>
      <c r="J20" s="6" t="inlineStr">
        <is>
          <t>YC02 mục 1.3 (cơ sở 655; mục tiêu 922)</t>
        </is>
      </c>
    </row>
    <row r="21">
      <c r="A21" s="1" t="n"/>
      <c r="B21" s="6" t="inlineStr">
        <is>
          <t>Click PPC</t>
        </is>
      </c>
      <c r="C21" s="21" t="n">
        <v>33.3</v>
      </c>
      <c r="D21" s="21" t="n">
        <v>44</v>
      </c>
      <c r="E21" s="21" t="n">
        <v>34.5</v>
      </c>
      <c r="F21" s="21" t="n">
        <v>68.90000000000001</v>
      </c>
      <c r="G21" s="21" t="n">
        <v>31.1</v>
      </c>
      <c r="H21" s="21" t="n">
        <v>21.8</v>
      </c>
      <c r="I21" s="22">
        <f>SUM(C21:H21)</f>
        <v/>
      </c>
      <c r="J21" s="6" t="inlineStr">
        <is>
          <t>YC02 bảng lịch PPC (234 click)</t>
        </is>
      </c>
    </row>
    <row r="22">
      <c r="A22" s="1" t="n"/>
      <c r="B22" s="6" t="inlineStr">
        <is>
          <t>Click ngoài sàn</t>
        </is>
      </c>
      <c r="C22" s="19" t="n">
        <v>12</v>
      </c>
      <c r="D22" s="19" t="n">
        <v>25</v>
      </c>
      <c r="E22" s="19" t="n">
        <v>12</v>
      </c>
      <c r="F22" s="19" t="n">
        <v>31</v>
      </c>
      <c r="G22" s="19" t="n">
        <v>45</v>
      </c>
      <c r="H22" s="19" t="n">
        <v>25</v>
      </c>
      <c r="I22" s="20">
        <f>SUM(C22:H22)</f>
        <v/>
      </c>
      <c r="J22" s="6" t="inlineStr">
        <is>
          <t>YC02, YC04 (cơ sở 120; mục tiêu 150)</t>
        </is>
      </c>
    </row>
    <row r="23">
      <c r="A23" s="1" t="n"/>
      <c r="B23" s="6" t="inlineStr">
        <is>
          <t>Unit Session % (Amazon)</t>
        </is>
      </c>
      <c r="C23" s="23" t="n">
        <v>0.09</v>
      </c>
      <c r="D23" s="23" t="n">
        <v>0.09</v>
      </c>
      <c r="E23" s="23" t="n">
        <v>0.09</v>
      </c>
      <c r="F23" s="23" t="n">
        <v>0.09</v>
      </c>
      <c r="G23" s="23" t="n">
        <v>0.09</v>
      </c>
      <c r="H23" s="23" t="n">
        <v>0.09</v>
      </c>
      <c r="I23" s="6" t="n"/>
      <c r="J23" s="6" t="inlineStr">
        <is>
          <t>Cơ sở tăng dần 6% → 9%; mục tiêu 9% cả kỳ</t>
        </is>
      </c>
    </row>
    <row r="24">
      <c r="A24" s="1" t="n"/>
      <c r="B24" s="6" t="inlineStr">
        <is>
          <t>Chi PPC (USD)</t>
        </is>
      </c>
      <c r="C24" s="19" t="n">
        <v>30</v>
      </c>
      <c r="D24" s="19" t="n">
        <v>30</v>
      </c>
      <c r="E24" s="19" t="n">
        <v>19</v>
      </c>
      <c r="F24" s="19" t="n">
        <v>62</v>
      </c>
      <c r="G24" s="19" t="n">
        <v>28</v>
      </c>
      <c r="H24" s="19" t="n">
        <v>12</v>
      </c>
      <c r="I24" s="20">
        <f>SUM(C24:H24)</f>
        <v/>
      </c>
      <c r="J24" s="6" t="inlineStr">
        <is>
          <t>YC02 mục 9</t>
        </is>
      </c>
    </row>
    <row r="25">
      <c r="A25" s="1" t="n"/>
      <c r="B25" s="6" t="inlineStr">
        <is>
          <t>Tỷ trọng units SP1, SP2</t>
        </is>
      </c>
      <c r="C25" s="24" t="n">
        <v>0.7</v>
      </c>
      <c r="D25" s="24" t="n">
        <v>0.54</v>
      </c>
      <c r="E25" s="24" t="n">
        <v>0.33</v>
      </c>
      <c r="F25" s="24" t="n">
        <v>0.73</v>
      </c>
      <c r="G25" s="24" t="n">
        <v>0.64</v>
      </c>
      <c r="H25" s="24" t="n">
        <v>0.6</v>
      </c>
      <c r="I25" s="6" t="n"/>
      <c r="J25" s="6" t="inlineStr">
        <is>
          <t>YC02, cơ cấu SKU theo tháng</t>
        </is>
      </c>
    </row>
    <row r="26">
      <c r="A26" s="1" t="n"/>
      <c r="B26" s="6" t="inlineStr">
        <is>
          <t>Tỷ lệ units từ truy vấn theo dịp</t>
        </is>
      </c>
      <c r="C26" s="24" t="n">
        <v>0.2</v>
      </c>
      <c r="D26" s="24" t="n">
        <v>0.25</v>
      </c>
      <c r="E26" s="24" t="n">
        <v>0.3</v>
      </c>
      <c r="F26" s="24" t="n">
        <v>0.4</v>
      </c>
      <c r="G26" s="24" t="n">
        <v>0.45</v>
      </c>
      <c r="H26" s="24" t="n">
        <v>0.5</v>
      </c>
      <c r="I26" s="6" t="n"/>
      <c r="J26" s="6" t="inlineStr">
        <is>
          <t>YC02 KPI: 20% → 50%</t>
        </is>
      </c>
    </row>
    <row r="27">
      <c r="A27" s="1" t="n"/>
      <c r="B27" s="6" t="inlineStr">
        <is>
          <t>Sessions tổng</t>
        </is>
      </c>
      <c r="C27" s="20">
        <f>C20+C21+C22</f>
        <v/>
      </c>
      <c r="D27" s="20">
        <f>D20+D21+D22</f>
        <v/>
      </c>
      <c r="E27" s="20">
        <f>E20+E21+E22</f>
        <v/>
      </c>
      <c r="F27" s="20">
        <f>F20+F21+F22</f>
        <v/>
      </c>
      <c r="G27" s="20">
        <f>G20+G21+G22</f>
        <v/>
      </c>
      <c r="H27" s="20">
        <f>H20+H21+H22</f>
        <v/>
      </c>
      <c r="I27" s="20">
        <f>SUM(C27:H27)</f>
        <v/>
      </c>
      <c r="J27" s="6" t="n"/>
    </row>
    <row r="28">
      <c r="A28" s="1" t="n"/>
      <c r="B28" s="6" t="inlineStr">
        <is>
          <t>Units kế hoạch</t>
        </is>
      </c>
      <c r="C28" s="20">
        <f>ROUND((C20+C21)*C23+C22*ThamSo!$C$5,0)</f>
        <v/>
      </c>
      <c r="D28" s="20">
        <f>ROUND((D20+D21)*D23+D22*ThamSo!$C$5,0)</f>
        <v/>
      </c>
      <c r="E28" s="20">
        <f>ROUND((E20+E21)*E23+E22*ThamSo!$C$5,0)</f>
        <v/>
      </c>
      <c r="F28" s="20">
        <f>ROUND((F20+F21)*F23+F22*ThamSo!$C$5,0)</f>
        <v/>
      </c>
      <c r="G28" s="20">
        <f>ROUND((G20+G21)*G23+G22*ThamSo!$C$5,0)</f>
        <v/>
      </c>
      <c r="H28" s="20">
        <f>ROUND((H20+H21)*H23+H22*ThamSo!$C$5,0)</f>
        <v/>
      </c>
      <c r="I28" s="20">
        <f>SUM(C28:H28)</f>
        <v/>
      </c>
      <c r="J28" s="6" t="n"/>
    </row>
    <row r="29">
      <c r="A29" s="1" t="n"/>
      <c r="B29" s="25" t="inlineStr">
        <is>
          <t>Units lũy kế</t>
        </is>
      </c>
      <c r="C29" s="20">
        <f>C28</f>
        <v/>
      </c>
      <c r="D29" s="20">
        <f>C29+D28</f>
        <v/>
      </c>
      <c r="E29" s="20">
        <f>D29+E28</f>
        <v/>
      </c>
      <c r="F29" s="20">
        <f>E29+F28</f>
        <v/>
      </c>
      <c r="G29" s="20">
        <f>F29+G28</f>
        <v/>
      </c>
      <c r="H29" s="20">
        <f>G29+H28</f>
        <v/>
      </c>
      <c r="I29" s="25" t="n"/>
      <c r="J29" s="25" t="n"/>
    </row>
    <row r="30">
      <c r="A30" s="1" t="n"/>
      <c r="B30" s="26" t="inlineStr">
        <is>
          <t>Sell-through lũy kế (% của tồn đầu kỳ)</t>
        </is>
      </c>
      <c r="C30" s="27">
        <f>C29/ThamSo!$C$25</f>
        <v/>
      </c>
      <c r="D30" s="27">
        <f>D29/ThamSo!$C$25</f>
        <v/>
      </c>
      <c r="E30" s="27">
        <f>E29/ThamSo!$C$25</f>
        <v/>
      </c>
      <c r="F30" s="27">
        <f>F29/ThamSo!$C$25</f>
        <v/>
      </c>
      <c r="G30" s="27">
        <f>G29/ThamSo!$C$25</f>
        <v/>
      </c>
      <c r="H30" s="27">
        <f>H29/ThamSo!$C$25</f>
        <v/>
      </c>
      <c r="I30" s="26" t="n"/>
      <c r="J30" s="26" t="n"/>
    </row>
    <row r="31">
      <c r="A31" s="1" t="n"/>
      <c r="B31" s="25" t="inlineStr">
        <is>
          <t>Doanh số theo giá niêm yết (USD)</t>
        </is>
      </c>
      <c r="C31" s="20">
        <f>C28*(C25*ThamSo!$C$6+(1-C25)*ThamSo!$C$7)</f>
        <v/>
      </c>
      <c r="D31" s="20">
        <f>D28*(D25*ThamSo!$C$6+(1-D25)*ThamSo!$C$7)</f>
        <v/>
      </c>
      <c r="E31" s="20">
        <f>E28*(E25*ThamSo!$C$6+(1-E25)*ThamSo!$C$7)</f>
        <v/>
      </c>
      <c r="F31" s="20">
        <f>F28*(F25*ThamSo!$C$6+(1-F25)*ThamSo!$C$7)</f>
        <v/>
      </c>
      <c r="G31" s="20">
        <f>G28*(G25*ThamSo!$C$6+(1-G25)*ThamSo!$C$7)</f>
        <v/>
      </c>
      <c r="H31" s="20">
        <f>H28*(H25*ThamSo!$C$6+(1-H25)*ThamSo!$C$7)</f>
        <v/>
      </c>
      <c r="I31" s="20">
        <f>SUM(C31:H31)</f>
        <v/>
      </c>
      <c r="J31" s="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13" customWidth="1" min="4" max="4"/>
    <col width="14" customWidth="1" min="5" max="5"/>
    <col width="12" customWidth="1" min="6" max="6"/>
    <col width="13" customWidth="1" min="7" max="7"/>
    <col width="11" customWidth="1" min="8" max="8"/>
    <col width="14" customWidth="1" min="9" max="9"/>
    <col width="12" customWidth="1" min="10" max="10"/>
    <col width="14" customWidth="1" min="11" max="11"/>
    <col width="14" customWidth="1" min="12" max="12"/>
    <col width="11" customWidth="1" min="13" max="13"/>
    <col width="11" customWidth="1" min="14" max="14"/>
    <col width="15" customWidth="1" min="15" max="15"/>
    <col width="15" customWidth="1" min="16" max="16"/>
    <col width="14" customWidth="1" min="17" max="17"/>
    <col width="9" customWidth="1" min="18" max="18"/>
  </cols>
  <sheetData>
    <row r="1">
      <c r="A1" s="2" t="inlineStr">
        <is>
          <t>Nhập liệu hằng tháng theo SKU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7" t="inlineStr">
        <is>
          <t>Điền các ô nền vàng chữ xanh. Dòng 4 là VÍ DỤ, không được tính. Cột Q và R là công thức, không sửa.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54" customHeight="1">
      <c r="A3" s="5" t="inlineStr">
        <is>
          <t>Tháng</t>
        </is>
      </c>
      <c r="B3" s="5" t="inlineStr">
        <is>
          <t>SKU</t>
        </is>
      </c>
      <c r="C3" s="5" t="inlineStr">
        <is>
          <t>Impression tìm kiếm
(Search Query Performance)</t>
        </is>
      </c>
      <c r="D3" s="5" t="inlineStr">
        <is>
          <t>Click tìm kiếm
(Search Query Performance)</t>
        </is>
      </c>
      <c r="E3" s="5" t="inlineStr">
        <is>
          <t>Sessions tổng
(Business Report, ASIN con)</t>
        </is>
      </c>
      <c r="F3" s="5" t="inlineStr">
        <is>
          <t>Click PPC
(Advertising console)</t>
        </is>
      </c>
      <c r="G3" s="5" t="inlineStr">
        <is>
          <t>Click ngoài sàn
(Amazon Attribution)</t>
        </is>
      </c>
      <c r="H3" s="5" t="inlineStr">
        <is>
          <t>Units bán
(Business Report)</t>
        </is>
      </c>
      <c r="I3" s="5" t="inlineStr">
        <is>
          <t>Doanh số USD
(Ordered product sales)</t>
        </is>
      </c>
      <c r="J3" s="5" t="inlineStr">
        <is>
          <t>Chi PPC USD
(Advertising console)</t>
        </is>
      </c>
      <c r="K3" s="5" t="inlineStr">
        <is>
          <t>Doanh số PPC USD
(Advertising console)</t>
        </is>
      </c>
      <c r="L3" s="5" t="inlineStr">
        <is>
          <t>Units mua qua ngoài sàn
(Amazon Attribution)</t>
        </is>
      </c>
      <c r="M3" s="5" t="inlineStr">
        <is>
          <t>Units hoàn
(FBA Customer Returns)</t>
        </is>
      </c>
      <c r="N3" s="5" t="inlineStr">
        <is>
          <t>Rating cuối tháng
(trang sản phẩm)</t>
        </is>
      </c>
      <c r="O3" s="5" t="inlineStr">
        <is>
          <t>Units từ truy vấn theo dịp
(Search Query Performance)</t>
        </is>
      </c>
      <c r="P3" s="5" t="inlineStr">
        <is>
          <t>Units khách mới
(Repeat Purchase Behavior) [KC]</t>
        </is>
      </c>
      <c r="Q3" s="5" t="inlineStr">
        <is>
          <t>Doanh số theo giá niêm yết
(công thức)</t>
        </is>
      </c>
      <c r="R3" s="5" t="inlineStr">
        <is>
          <t>Thứ tự tháng
(công thức)</t>
        </is>
      </c>
    </row>
    <row r="4">
      <c r="A4" s="28" t="inlineStr">
        <is>
          <t>VÍ DỤ</t>
        </is>
      </c>
      <c r="B4" s="28" t="inlineStr">
        <is>
          <t>SP2 vàng</t>
        </is>
      </c>
      <c r="C4" s="29" t="n">
        <v>1450</v>
      </c>
      <c r="D4" s="29" t="n">
        <v>9</v>
      </c>
      <c r="E4" s="29" t="n">
        <v>58</v>
      </c>
      <c r="F4" s="29" t="n">
        <v>17</v>
      </c>
      <c r="G4" s="29" t="n">
        <v>4</v>
      </c>
      <c r="H4" s="29" t="n">
        <v>4</v>
      </c>
      <c r="I4" s="30" t="n">
        <v>207.96</v>
      </c>
      <c r="J4" s="30" t="n">
        <v>15</v>
      </c>
      <c r="K4" s="30" t="n">
        <v>103.98</v>
      </c>
      <c r="L4" s="29" t="n">
        <v>0</v>
      </c>
      <c r="M4" s="29" t="n">
        <v>0</v>
      </c>
      <c r="N4" s="31" t="n">
        <v>4.4</v>
      </c>
      <c r="O4" s="29" t="n">
        <v>2</v>
      </c>
      <c r="P4" s="29" t="n">
        <v>4</v>
      </c>
      <c r="Q4" s="32" t="n"/>
      <c r="R4" s="32" t="n"/>
    </row>
    <row r="5">
      <c r="A5" s="14" t="inlineStr">
        <is>
          <t>T10</t>
        </is>
      </c>
      <c r="B5" s="14" t="inlineStr">
        <is>
          <t>SP1</t>
        </is>
      </c>
      <c r="C5" s="33" t="n"/>
      <c r="D5" s="33" t="n"/>
      <c r="E5" s="33" t="n"/>
      <c r="F5" s="33" t="n"/>
      <c r="G5" s="33" t="n"/>
      <c r="H5" s="33" t="n"/>
      <c r="I5" s="8" t="n"/>
      <c r="J5" s="8" t="n"/>
      <c r="K5" s="8" t="n"/>
      <c r="L5" s="33" t="n"/>
      <c r="M5" s="33" t="n"/>
      <c r="N5" s="11" t="n"/>
      <c r="O5" s="33" t="n"/>
      <c r="P5" s="33" t="n"/>
      <c r="Q5" s="34">
        <f>H5*IF(LEFT(B5,3)="SP3",ThamSo!$C$7,ThamSo!$C$6)</f>
        <v/>
      </c>
      <c r="R5" s="35">
        <f>MATCH(A5,ThamSo!$B$28:$B$33,0)</f>
        <v/>
      </c>
    </row>
    <row r="6">
      <c r="A6" s="14" t="inlineStr">
        <is>
          <t>T10</t>
        </is>
      </c>
      <c r="B6" s="14" t="inlineStr">
        <is>
          <t>SP2 xanh</t>
        </is>
      </c>
      <c r="C6" s="33" t="n"/>
      <c r="D6" s="33" t="n"/>
      <c r="E6" s="33" t="n"/>
      <c r="F6" s="33" t="n"/>
      <c r="G6" s="33" t="n"/>
      <c r="H6" s="33" t="n"/>
      <c r="I6" s="8" t="n"/>
      <c r="J6" s="8" t="n"/>
      <c r="K6" s="8" t="n"/>
      <c r="L6" s="33" t="n"/>
      <c r="M6" s="33" t="n"/>
      <c r="N6" s="11" t="n"/>
      <c r="O6" s="33" t="n"/>
      <c r="P6" s="33" t="n"/>
      <c r="Q6" s="34">
        <f>H6*IF(LEFT(B6,3)="SP3",ThamSo!$C$7,ThamSo!$C$6)</f>
        <v/>
      </c>
      <c r="R6" s="35">
        <f>MATCH(A6,ThamSo!$B$28:$B$33,0)</f>
        <v/>
      </c>
    </row>
    <row r="7">
      <c r="A7" s="14" t="inlineStr">
        <is>
          <t>T10</t>
        </is>
      </c>
      <c r="B7" s="14" t="inlineStr">
        <is>
          <t>SP2 vàng</t>
        </is>
      </c>
      <c r="C7" s="33" t="n"/>
      <c r="D7" s="33" t="n"/>
      <c r="E7" s="33" t="n"/>
      <c r="F7" s="33" t="n"/>
      <c r="G7" s="33" t="n"/>
      <c r="H7" s="33" t="n"/>
      <c r="I7" s="8" t="n"/>
      <c r="J7" s="8" t="n"/>
      <c r="K7" s="8" t="n"/>
      <c r="L7" s="33" t="n"/>
      <c r="M7" s="33" t="n"/>
      <c r="N7" s="11" t="n"/>
      <c r="O7" s="33" t="n"/>
      <c r="P7" s="33" t="n"/>
      <c r="Q7" s="34">
        <f>H7*IF(LEFT(B7,3)="SP3",ThamSo!$C$7,ThamSo!$C$6)</f>
        <v/>
      </c>
      <c r="R7" s="35">
        <f>MATCH(A7,ThamSo!$B$28:$B$33,0)</f>
        <v/>
      </c>
    </row>
    <row r="8">
      <c r="A8" s="14" t="inlineStr">
        <is>
          <t>T10</t>
        </is>
      </c>
      <c r="B8" s="14" t="inlineStr">
        <is>
          <t>SP3 đen</t>
        </is>
      </c>
      <c r="C8" s="33" t="n"/>
      <c r="D8" s="33" t="n"/>
      <c r="E8" s="33" t="n"/>
      <c r="F8" s="33" t="n"/>
      <c r="G8" s="33" t="n"/>
      <c r="H8" s="33" t="n"/>
      <c r="I8" s="8" t="n"/>
      <c r="J8" s="8" t="n"/>
      <c r="K8" s="8" t="n"/>
      <c r="L8" s="33" t="n"/>
      <c r="M8" s="33" t="n"/>
      <c r="N8" s="11" t="n"/>
      <c r="O8" s="33" t="n"/>
      <c r="P8" s="33" t="n"/>
      <c r="Q8" s="34">
        <f>H8*IF(LEFT(B8,3)="SP3",ThamSo!$C$7,ThamSo!$C$6)</f>
        <v/>
      </c>
      <c r="R8" s="35">
        <f>MATCH(A8,ThamSo!$B$28:$B$33,0)</f>
        <v/>
      </c>
    </row>
    <row r="9">
      <c r="A9" s="14" t="inlineStr">
        <is>
          <t>T10</t>
        </is>
      </c>
      <c r="B9" s="14" t="inlineStr">
        <is>
          <t>SP3 hồng</t>
        </is>
      </c>
      <c r="C9" s="33" t="n"/>
      <c r="D9" s="33" t="n"/>
      <c r="E9" s="33" t="n"/>
      <c r="F9" s="33" t="n"/>
      <c r="G9" s="33" t="n"/>
      <c r="H9" s="33" t="n"/>
      <c r="I9" s="8" t="n"/>
      <c r="J9" s="8" t="n"/>
      <c r="K9" s="8" t="n"/>
      <c r="L9" s="33" t="n"/>
      <c r="M9" s="33" t="n"/>
      <c r="N9" s="11" t="n"/>
      <c r="O9" s="33" t="n"/>
      <c r="P9" s="33" t="n"/>
      <c r="Q9" s="34">
        <f>H9*IF(LEFT(B9,3)="SP3",ThamSo!$C$7,ThamSo!$C$6)</f>
        <v/>
      </c>
      <c r="R9" s="35">
        <f>MATCH(A9,ThamSo!$B$28:$B$33,0)</f>
        <v/>
      </c>
    </row>
    <row r="10">
      <c r="A10" s="14" t="inlineStr">
        <is>
          <t>T11</t>
        </is>
      </c>
      <c r="B10" s="14" t="inlineStr">
        <is>
          <t>SP1</t>
        </is>
      </c>
      <c r="C10" s="33" t="n"/>
      <c r="D10" s="33" t="n"/>
      <c r="E10" s="33" t="n"/>
      <c r="F10" s="33" t="n"/>
      <c r="G10" s="33" t="n"/>
      <c r="H10" s="33" t="n"/>
      <c r="I10" s="8" t="n"/>
      <c r="J10" s="8" t="n"/>
      <c r="K10" s="8" t="n"/>
      <c r="L10" s="33" t="n"/>
      <c r="M10" s="33" t="n"/>
      <c r="N10" s="11" t="n"/>
      <c r="O10" s="33" t="n"/>
      <c r="P10" s="33" t="n"/>
      <c r="Q10" s="34">
        <f>H10*IF(LEFT(B10,3)="SP3",ThamSo!$C$7,ThamSo!$C$6)</f>
        <v/>
      </c>
      <c r="R10" s="35">
        <f>MATCH(A10,ThamSo!$B$28:$B$33,0)</f>
        <v/>
      </c>
    </row>
    <row r="11">
      <c r="A11" s="14" t="inlineStr">
        <is>
          <t>T11</t>
        </is>
      </c>
      <c r="B11" s="14" t="inlineStr">
        <is>
          <t>SP2 xanh</t>
        </is>
      </c>
      <c r="C11" s="33" t="n"/>
      <c r="D11" s="33" t="n"/>
      <c r="E11" s="33" t="n"/>
      <c r="F11" s="33" t="n"/>
      <c r="G11" s="33" t="n"/>
      <c r="H11" s="33" t="n"/>
      <c r="I11" s="8" t="n"/>
      <c r="J11" s="8" t="n"/>
      <c r="K11" s="8" t="n"/>
      <c r="L11" s="33" t="n"/>
      <c r="M11" s="33" t="n"/>
      <c r="N11" s="11" t="n"/>
      <c r="O11" s="33" t="n"/>
      <c r="P11" s="33" t="n"/>
      <c r="Q11" s="34">
        <f>H11*IF(LEFT(B11,3)="SP3",ThamSo!$C$7,ThamSo!$C$6)</f>
        <v/>
      </c>
      <c r="R11" s="35">
        <f>MATCH(A11,ThamSo!$B$28:$B$33,0)</f>
        <v/>
      </c>
    </row>
    <row r="12">
      <c r="A12" s="14" t="inlineStr">
        <is>
          <t>T11</t>
        </is>
      </c>
      <c r="B12" s="14" t="inlineStr">
        <is>
          <t>SP2 vàng</t>
        </is>
      </c>
      <c r="C12" s="33" t="n"/>
      <c r="D12" s="33" t="n"/>
      <c r="E12" s="33" t="n"/>
      <c r="F12" s="33" t="n"/>
      <c r="G12" s="33" t="n"/>
      <c r="H12" s="33" t="n"/>
      <c r="I12" s="8" t="n"/>
      <c r="J12" s="8" t="n"/>
      <c r="K12" s="8" t="n"/>
      <c r="L12" s="33" t="n"/>
      <c r="M12" s="33" t="n"/>
      <c r="N12" s="11" t="n"/>
      <c r="O12" s="33" t="n"/>
      <c r="P12" s="33" t="n"/>
      <c r="Q12" s="34">
        <f>H12*IF(LEFT(B12,3)="SP3",ThamSo!$C$7,ThamSo!$C$6)</f>
        <v/>
      </c>
      <c r="R12" s="35">
        <f>MATCH(A12,ThamSo!$B$28:$B$33,0)</f>
        <v/>
      </c>
    </row>
    <row r="13">
      <c r="A13" s="14" t="inlineStr">
        <is>
          <t>T11</t>
        </is>
      </c>
      <c r="B13" s="14" t="inlineStr">
        <is>
          <t>SP3 đen</t>
        </is>
      </c>
      <c r="C13" s="33" t="n"/>
      <c r="D13" s="33" t="n"/>
      <c r="E13" s="33" t="n"/>
      <c r="F13" s="33" t="n"/>
      <c r="G13" s="33" t="n"/>
      <c r="H13" s="33" t="n"/>
      <c r="I13" s="8" t="n"/>
      <c r="J13" s="8" t="n"/>
      <c r="K13" s="8" t="n"/>
      <c r="L13" s="33" t="n"/>
      <c r="M13" s="33" t="n"/>
      <c r="N13" s="11" t="n"/>
      <c r="O13" s="33" t="n"/>
      <c r="P13" s="33" t="n"/>
      <c r="Q13" s="34">
        <f>H13*IF(LEFT(B13,3)="SP3",ThamSo!$C$7,ThamSo!$C$6)</f>
        <v/>
      </c>
      <c r="R13" s="35">
        <f>MATCH(A13,ThamSo!$B$28:$B$33,0)</f>
        <v/>
      </c>
    </row>
    <row r="14">
      <c r="A14" s="14" t="inlineStr">
        <is>
          <t>T11</t>
        </is>
      </c>
      <c r="B14" s="14" t="inlineStr">
        <is>
          <t>SP3 hồng</t>
        </is>
      </c>
      <c r="C14" s="33" t="n"/>
      <c r="D14" s="33" t="n"/>
      <c r="E14" s="33" t="n"/>
      <c r="F14" s="33" t="n"/>
      <c r="G14" s="33" t="n"/>
      <c r="H14" s="33" t="n"/>
      <c r="I14" s="8" t="n"/>
      <c r="J14" s="8" t="n"/>
      <c r="K14" s="8" t="n"/>
      <c r="L14" s="33" t="n"/>
      <c r="M14" s="33" t="n"/>
      <c r="N14" s="11" t="n"/>
      <c r="O14" s="33" t="n"/>
      <c r="P14" s="33" t="n"/>
      <c r="Q14" s="34">
        <f>H14*IF(LEFT(B14,3)="SP3",ThamSo!$C$7,ThamSo!$C$6)</f>
        <v/>
      </c>
      <c r="R14" s="35">
        <f>MATCH(A14,ThamSo!$B$28:$B$33,0)</f>
        <v/>
      </c>
    </row>
    <row r="15">
      <c r="A15" s="14" t="inlineStr">
        <is>
          <t>T12</t>
        </is>
      </c>
      <c r="B15" s="14" t="inlineStr">
        <is>
          <t>SP1</t>
        </is>
      </c>
      <c r="C15" s="33" t="n"/>
      <c r="D15" s="33" t="n"/>
      <c r="E15" s="33" t="n"/>
      <c r="F15" s="33" t="n"/>
      <c r="G15" s="33" t="n"/>
      <c r="H15" s="33" t="n"/>
      <c r="I15" s="8" t="n"/>
      <c r="J15" s="8" t="n"/>
      <c r="K15" s="8" t="n"/>
      <c r="L15" s="33" t="n"/>
      <c r="M15" s="33" t="n"/>
      <c r="N15" s="11" t="n"/>
      <c r="O15" s="33" t="n"/>
      <c r="P15" s="33" t="n"/>
      <c r="Q15" s="34">
        <f>H15*IF(LEFT(B15,3)="SP3",ThamSo!$C$7,ThamSo!$C$6)</f>
        <v/>
      </c>
      <c r="R15" s="35">
        <f>MATCH(A15,ThamSo!$B$28:$B$33,0)</f>
        <v/>
      </c>
    </row>
    <row r="16">
      <c r="A16" s="14" t="inlineStr">
        <is>
          <t>T12</t>
        </is>
      </c>
      <c r="B16" s="14" t="inlineStr">
        <is>
          <t>SP2 xanh</t>
        </is>
      </c>
      <c r="C16" s="33" t="n"/>
      <c r="D16" s="33" t="n"/>
      <c r="E16" s="33" t="n"/>
      <c r="F16" s="33" t="n"/>
      <c r="G16" s="33" t="n"/>
      <c r="H16" s="33" t="n"/>
      <c r="I16" s="8" t="n"/>
      <c r="J16" s="8" t="n"/>
      <c r="K16" s="8" t="n"/>
      <c r="L16" s="33" t="n"/>
      <c r="M16" s="33" t="n"/>
      <c r="N16" s="11" t="n"/>
      <c r="O16" s="33" t="n"/>
      <c r="P16" s="33" t="n"/>
      <c r="Q16" s="34">
        <f>H16*IF(LEFT(B16,3)="SP3",ThamSo!$C$7,ThamSo!$C$6)</f>
        <v/>
      </c>
      <c r="R16" s="35">
        <f>MATCH(A16,ThamSo!$B$28:$B$33,0)</f>
        <v/>
      </c>
    </row>
    <row r="17">
      <c r="A17" s="14" t="inlineStr">
        <is>
          <t>T12</t>
        </is>
      </c>
      <c r="B17" s="14" t="inlineStr">
        <is>
          <t>SP2 vàng</t>
        </is>
      </c>
      <c r="C17" s="33" t="n"/>
      <c r="D17" s="33" t="n"/>
      <c r="E17" s="33" t="n"/>
      <c r="F17" s="33" t="n"/>
      <c r="G17" s="33" t="n"/>
      <c r="H17" s="33" t="n"/>
      <c r="I17" s="8" t="n"/>
      <c r="J17" s="8" t="n"/>
      <c r="K17" s="8" t="n"/>
      <c r="L17" s="33" t="n"/>
      <c r="M17" s="33" t="n"/>
      <c r="N17" s="11" t="n"/>
      <c r="O17" s="33" t="n"/>
      <c r="P17" s="33" t="n"/>
      <c r="Q17" s="34">
        <f>H17*IF(LEFT(B17,3)="SP3",ThamSo!$C$7,ThamSo!$C$6)</f>
        <v/>
      </c>
      <c r="R17" s="35">
        <f>MATCH(A17,ThamSo!$B$28:$B$33,0)</f>
        <v/>
      </c>
    </row>
    <row r="18">
      <c r="A18" s="14" t="inlineStr">
        <is>
          <t>T12</t>
        </is>
      </c>
      <c r="B18" s="14" t="inlineStr">
        <is>
          <t>SP3 đen</t>
        </is>
      </c>
      <c r="C18" s="33" t="n"/>
      <c r="D18" s="33" t="n"/>
      <c r="E18" s="33" t="n"/>
      <c r="F18" s="33" t="n"/>
      <c r="G18" s="33" t="n"/>
      <c r="H18" s="33" t="n"/>
      <c r="I18" s="8" t="n"/>
      <c r="J18" s="8" t="n"/>
      <c r="K18" s="8" t="n"/>
      <c r="L18" s="33" t="n"/>
      <c r="M18" s="33" t="n"/>
      <c r="N18" s="11" t="n"/>
      <c r="O18" s="33" t="n"/>
      <c r="P18" s="33" t="n"/>
      <c r="Q18" s="34">
        <f>H18*IF(LEFT(B18,3)="SP3",ThamSo!$C$7,ThamSo!$C$6)</f>
        <v/>
      </c>
      <c r="R18" s="35">
        <f>MATCH(A18,ThamSo!$B$28:$B$33,0)</f>
        <v/>
      </c>
    </row>
    <row r="19">
      <c r="A19" s="14" t="inlineStr">
        <is>
          <t>T12</t>
        </is>
      </c>
      <c r="B19" s="14" t="inlineStr">
        <is>
          <t>SP3 hồng</t>
        </is>
      </c>
      <c r="C19" s="33" t="n"/>
      <c r="D19" s="33" t="n"/>
      <c r="E19" s="33" t="n"/>
      <c r="F19" s="33" t="n"/>
      <c r="G19" s="33" t="n"/>
      <c r="H19" s="33" t="n"/>
      <c r="I19" s="8" t="n"/>
      <c r="J19" s="8" t="n"/>
      <c r="K19" s="8" t="n"/>
      <c r="L19" s="33" t="n"/>
      <c r="M19" s="33" t="n"/>
      <c r="N19" s="11" t="n"/>
      <c r="O19" s="33" t="n"/>
      <c r="P19" s="33" t="n"/>
      <c r="Q19" s="34">
        <f>H19*IF(LEFT(B19,3)="SP3",ThamSo!$C$7,ThamSo!$C$6)</f>
        <v/>
      </c>
      <c r="R19" s="35">
        <f>MATCH(A19,ThamSo!$B$28:$B$33,0)</f>
        <v/>
      </c>
    </row>
    <row r="20">
      <c r="A20" s="14" t="inlineStr">
        <is>
          <t>T1</t>
        </is>
      </c>
      <c r="B20" s="14" t="inlineStr">
        <is>
          <t>SP1</t>
        </is>
      </c>
      <c r="C20" s="33" t="n"/>
      <c r="D20" s="33" t="n"/>
      <c r="E20" s="33" t="n"/>
      <c r="F20" s="33" t="n"/>
      <c r="G20" s="33" t="n"/>
      <c r="H20" s="33" t="n"/>
      <c r="I20" s="8" t="n"/>
      <c r="J20" s="8" t="n"/>
      <c r="K20" s="8" t="n"/>
      <c r="L20" s="33" t="n"/>
      <c r="M20" s="33" t="n"/>
      <c r="N20" s="11" t="n"/>
      <c r="O20" s="33" t="n"/>
      <c r="P20" s="33" t="n"/>
      <c r="Q20" s="34">
        <f>H20*IF(LEFT(B20,3)="SP3",ThamSo!$C$7,ThamSo!$C$6)</f>
        <v/>
      </c>
      <c r="R20" s="35">
        <f>MATCH(A20,ThamSo!$B$28:$B$33,0)</f>
        <v/>
      </c>
    </row>
    <row r="21">
      <c r="A21" s="14" t="inlineStr">
        <is>
          <t>T1</t>
        </is>
      </c>
      <c r="B21" s="14" t="inlineStr">
        <is>
          <t>SP2 xanh</t>
        </is>
      </c>
      <c r="C21" s="33" t="n"/>
      <c r="D21" s="33" t="n"/>
      <c r="E21" s="33" t="n"/>
      <c r="F21" s="33" t="n"/>
      <c r="G21" s="33" t="n"/>
      <c r="H21" s="33" t="n"/>
      <c r="I21" s="8" t="n"/>
      <c r="J21" s="8" t="n"/>
      <c r="K21" s="8" t="n"/>
      <c r="L21" s="33" t="n"/>
      <c r="M21" s="33" t="n"/>
      <c r="N21" s="11" t="n"/>
      <c r="O21" s="33" t="n"/>
      <c r="P21" s="33" t="n"/>
      <c r="Q21" s="34">
        <f>H21*IF(LEFT(B21,3)="SP3",ThamSo!$C$7,ThamSo!$C$6)</f>
        <v/>
      </c>
      <c r="R21" s="35">
        <f>MATCH(A21,ThamSo!$B$28:$B$33,0)</f>
        <v/>
      </c>
    </row>
    <row r="22">
      <c r="A22" s="14" t="inlineStr">
        <is>
          <t>T1</t>
        </is>
      </c>
      <c r="B22" s="14" t="inlineStr">
        <is>
          <t>SP2 vàng</t>
        </is>
      </c>
      <c r="C22" s="33" t="n"/>
      <c r="D22" s="33" t="n"/>
      <c r="E22" s="33" t="n"/>
      <c r="F22" s="33" t="n"/>
      <c r="G22" s="33" t="n"/>
      <c r="H22" s="33" t="n"/>
      <c r="I22" s="8" t="n"/>
      <c r="J22" s="8" t="n"/>
      <c r="K22" s="8" t="n"/>
      <c r="L22" s="33" t="n"/>
      <c r="M22" s="33" t="n"/>
      <c r="N22" s="11" t="n"/>
      <c r="O22" s="33" t="n"/>
      <c r="P22" s="33" t="n"/>
      <c r="Q22" s="34">
        <f>H22*IF(LEFT(B22,3)="SP3",ThamSo!$C$7,ThamSo!$C$6)</f>
        <v/>
      </c>
      <c r="R22" s="35">
        <f>MATCH(A22,ThamSo!$B$28:$B$33,0)</f>
        <v/>
      </c>
    </row>
    <row r="23">
      <c r="A23" s="14" t="inlineStr">
        <is>
          <t>T1</t>
        </is>
      </c>
      <c r="B23" s="14" t="inlineStr">
        <is>
          <t>SP3 đen</t>
        </is>
      </c>
      <c r="C23" s="33" t="n"/>
      <c r="D23" s="33" t="n"/>
      <c r="E23" s="33" t="n"/>
      <c r="F23" s="33" t="n"/>
      <c r="G23" s="33" t="n"/>
      <c r="H23" s="33" t="n"/>
      <c r="I23" s="8" t="n"/>
      <c r="J23" s="8" t="n"/>
      <c r="K23" s="8" t="n"/>
      <c r="L23" s="33" t="n"/>
      <c r="M23" s="33" t="n"/>
      <c r="N23" s="11" t="n"/>
      <c r="O23" s="33" t="n"/>
      <c r="P23" s="33" t="n"/>
      <c r="Q23" s="34">
        <f>H23*IF(LEFT(B23,3)="SP3",ThamSo!$C$7,ThamSo!$C$6)</f>
        <v/>
      </c>
      <c r="R23" s="35">
        <f>MATCH(A23,ThamSo!$B$28:$B$33,0)</f>
        <v/>
      </c>
    </row>
    <row r="24">
      <c r="A24" s="14" t="inlineStr">
        <is>
          <t>T1</t>
        </is>
      </c>
      <c r="B24" s="14" t="inlineStr">
        <is>
          <t>SP3 hồng</t>
        </is>
      </c>
      <c r="C24" s="33" t="n"/>
      <c r="D24" s="33" t="n"/>
      <c r="E24" s="33" t="n"/>
      <c r="F24" s="33" t="n"/>
      <c r="G24" s="33" t="n"/>
      <c r="H24" s="33" t="n"/>
      <c r="I24" s="8" t="n"/>
      <c r="J24" s="8" t="n"/>
      <c r="K24" s="8" t="n"/>
      <c r="L24" s="33" t="n"/>
      <c r="M24" s="33" t="n"/>
      <c r="N24" s="11" t="n"/>
      <c r="O24" s="33" t="n"/>
      <c r="P24" s="33" t="n"/>
      <c r="Q24" s="34">
        <f>H24*IF(LEFT(B24,3)="SP3",ThamSo!$C$7,ThamSo!$C$6)</f>
        <v/>
      </c>
      <c r="R24" s="35">
        <f>MATCH(A24,ThamSo!$B$28:$B$33,0)</f>
        <v/>
      </c>
    </row>
    <row r="25">
      <c r="A25" s="14" t="inlineStr">
        <is>
          <t>T2</t>
        </is>
      </c>
      <c r="B25" s="14" t="inlineStr">
        <is>
          <t>SP1</t>
        </is>
      </c>
      <c r="C25" s="33" t="n"/>
      <c r="D25" s="33" t="n"/>
      <c r="E25" s="33" t="n"/>
      <c r="F25" s="33" t="n"/>
      <c r="G25" s="33" t="n"/>
      <c r="H25" s="33" t="n"/>
      <c r="I25" s="8" t="n"/>
      <c r="J25" s="8" t="n"/>
      <c r="K25" s="8" t="n"/>
      <c r="L25" s="33" t="n"/>
      <c r="M25" s="33" t="n"/>
      <c r="N25" s="11" t="n"/>
      <c r="O25" s="33" t="n"/>
      <c r="P25" s="33" t="n"/>
      <c r="Q25" s="34">
        <f>H25*IF(LEFT(B25,3)="SP3",ThamSo!$C$7,ThamSo!$C$6)</f>
        <v/>
      </c>
      <c r="R25" s="35">
        <f>MATCH(A25,ThamSo!$B$28:$B$33,0)</f>
        <v/>
      </c>
    </row>
    <row r="26">
      <c r="A26" s="14" t="inlineStr">
        <is>
          <t>T2</t>
        </is>
      </c>
      <c r="B26" s="14" t="inlineStr">
        <is>
          <t>SP2 xanh</t>
        </is>
      </c>
      <c r="C26" s="33" t="n"/>
      <c r="D26" s="33" t="n"/>
      <c r="E26" s="33" t="n"/>
      <c r="F26" s="33" t="n"/>
      <c r="G26" s="33" t="n"/>
      <c r="H26" s="33" t="n"/>
      <c r="I26" s="8" t="n"/>
      <c r="J26" s="8" t="n"/>
      <c r="K26" s="8" t="n"/>
      <c r="L26" s="33" t="n"/>
      <c r="M26" s="33" t="n"/>
      <c r="N26" s="11" t="n"/>
      <c r="O26" s="33" t="n"/>
      <c r="P26" s="33" t="n"/>
      <c r="Q26" s="34">
        <f>H26*IF(LEFT(B26,3)="SP3",ThamSo!$C$7,ThamSo!$C$6)</f>
        <v/>
      </c>
      <c r="R26" s="35">
        <f>MATCH(A26,ThamSo!$B$28:$B$33,0)</f>
        <v/>
      </c>
    </row>
    <row r="27">
      <c r="A27" s="14" t="inlineStr">
        <is>
          <t>T2</t>
        </is>
      </c>
      <c r="B27" s="14" t="inlineStr">
        <is>
          <t>SP2 vàng</t>
        </is>
      </c>
      <c r="C27" s="33" t="n"/>
      <c r="D27" s="33" t="n"/>
      <c r="E27" s="33" t="n"/>
      <c r="F27" s="33" t="n"/>
      <c r="G27" s="33" t="n"/>
      <c r="H27" s="33" t="n"/>
      <c r="I27" s="8" t="n"/>
      <c r="J27" s="8" t="n"/>
      <c r="K27" s="8" t="n"/>
      <c r="L27" s="33" t="n"/>
      <c r="M27" s="33" t="n"/>
      <c r="N27" s="11" t="n"/>
      <c r="O27" s="33" t="n"/>
      <c r="P27" s="33" t="n"/>
      <c r="Q27" s="34">
        <f>H27*IF(LEFT(B27,3)="SP3",ThamSo!$C$7,ThamSo!$C$6)</f>
        <v/>
      </c>
      <c r="R27" s="35">
        <f>MATCH(A27,ThamSo!$B$28:$B$33,0)</f>
        <v/>
      </c>
    </row>
    <row r="28">
      <c r="A28" s="14" t="inlineStr">
        <is>
          <t>T2</t>
        </is>
      </c>
      <c r="B28" s="14" t="inlineStr">
        <is>
          <t>SP3 đen</t>
        </is>
      </c>
      <c r="C28" s="33" t="n"/>
      <c r="D28" s="33" t="n"/>
      <c r="E28" s="33" t="n"/>
      <c r="F28" s="33" t="n"/>
      <c r="G28" s="33" t="n"/>
      <c r="H28" s="33" t="n"/>
      <c r="I28" s="8" t="n"/>
      <c r="J28" s="8" t="n"/>
      <c r="K28" s="8" t="n"/>
      <c r="L28" s="33" t="n"/>
      <c r="M28" s="33" t="n"/>
      <c r="N28" s="11" t="n"/>
      <c r="O28" s="33" t="n"/>
      <c r="P28" s="33" t="n"/>
      <c r="Q28" s="34">
        <f>H28*IF(LEFT(B28,3)="SP3",ThamSo!$C$7,ThamSo!$C$6)</f>
        <v/>
      </c>
      <c r="R28" s="35">
        <f>MATCH(A28,ThamSo!$B$28:$B$33,0)</f>
        <v/>
      </c>
    </row>
    <row r="29">
      <c r="A29" s="14" t="inlineStr">
        <is>
          <t>T2</t>
        </is>
      </c>
      <c r="B29" s="14" t="inlineStr">
        <is>
          <t>SP3 hồng</t>
        </is>
      </c>
      <c r="C29" s="33" t="n"/>
      <c r="D29" s="33" t="n"/>
      <c r="E29" s="33" t="n"/>
      <c r="F29" s="33" t="n"/>
      <c r="G29" s="33" t="n"/>
      <c r="H29" s="33" t="n"/>
      <c r="I29" s="8" t="n"/>
      <c r="J29" s="8" t="n"/>
      <c r="K29" s="8" t="n"/>
      <c r="L29" s="33" t="n"/>
      <c r="M29" s="33" t="n"/>
      <c r="N29" s="11" t="n"/>
      <c r="O29" s="33" t="n"/>
      <c r="P29" s="33" t="n"/>
      <c r="Q29" s="34">
        <f>H29*IF(LEFT(B29,3)="SP3",ThamSo!$C$7,ThamSo!$C$6)</f>
        <v/>
      </c>
      <c r="R29" s="35">
        <f>MATCH(A29,ThamSo!$B$28:$B$33,0)</f>
        <v/>
      </c>
    </row>
    <row r="30">
      <c r="A30" s="14" t="inlineStr">
        <is>
          <t>T3</t>
        </is>
      </c>
      <c r="B30" s="14" t="inlineStr">
        <is>
          <t>SP1</t>
        </is>
      </c>
      <c r="C30" s="33" t="n"/>
      <c r="D30" s="33" t="n"/>
      <c r="E30" s="33" t="n"/>
      <c r="F30" s="33" t="n"/>
      <c r="G30" s="33" t="n"/>
      <c r="H30" s="33" t="n"/>
      <c r="I30" s="8" t="n"/>
      <c r="J30" s="8" t="n"/>
      <c r="K30" s="8" t="n"/>
      <c r="L30" s="33" t="n"/>
      <c r="M30" s="33" t="n"/>
      <c r="N30" s="11" t="n"/>
      <c r="O30" s="33" t="n"/>
      <c r="P30" s="33" t="n"/>
      <c r="Q30" s="34">
        <f>H30*IF(LEFT(B30,3)="SP3",ThamSo!$C$7,ThamSo!$C$6)</f>
        <v/>
      </c>
      <c r="R30" s="35">
        <f>MATCH(A30,ThamSo!$B$28:$B$33,0)</f>
        <v/>
      </c>
    </row>
    <row r="31">
      <c r="A31" s="14" t="inlineStr">
        <is>
          <t>T3</t>
        </is>
      </c>
      <c r="B31" s="14" t="inlineStr">
        <is>
          <t>SP2 xanh</t>
        </is>
      </c>
      <c r="C31" s="33" t="n"/>
      <c r="D31" s="33" t="n"/>
      <c r="E31" s="33" t="n"/>
      <c r="F31" s="33" t="n"/>
      <c r="G31" s="33" t="n"/>
      <c r="H31" s="33" t="n"/>
      <c r="I31" s="8" t="n"/>
      <c r="J31" s="8" t="n"/>
      <c r="K31" s="8" t="n"/>
      <c r="L31" s="33" t="n"/>
      <c r="M31" s="33" t="n"/>
      <c r="N31" s="11" t="n"/>
      <c r="O31" s="33" t="n"/>
      <c r="P31" s="33" t="n"/>
      <c r="Q31" s="34">
        <f>H31*IF(LEFT(B31,3)="SP3",ThamSo!$C$7,ThamSo!$C$6)</f>
        <v/>
      </c>
      <c r="R31" s="35">
        <f>MATCH(A31,ThamSo!$B$28:$B$33,0)</f>
        <v/>
      </c>
    </row>
    <row r="32">
      <c r="A32" s="14" t="inlineStr">
        <is>
          <t>T3</t>
        </is>
      </c>
      <c r="B32" s="14" t="inlineStr">
        <is>
          <t>SP2 vàng</t>
        </is>
      </c>
      <c r="C32" s="33" t="n"/>
      <c r="D32" s="33" t="n"/>
      <c r="E32" s="33" t="n"/>
      <c r="F32" s="33" t="n"/>
      <c r="G32" s="33" t="n"/>
      <c r="H32" s="33" t="n"/>
      <c r="I32" s="8" t="n"/>
      <c r="J32" s="8" t="n"/>
      <c r="K32" s="8" t="n"/>
      <c r="L32" s="33" t="n"/>
      <c r="M32" s="33" t="n"/>
      <c r="N32" s="11" t="n"/>
      <c r="O32" s="33" t="n"/>
      <c r="P32" s="33" t="n"/>
      <c r="Q32" s="34">
        <f>H32*IF(LEFT(B32,3)="SP3",ThamSo!$C$7,ThamSo!$C$6)</f>
        <v/>
      </c>
      <c r="R32" s="35">
        <f>MATCH(A32,ThamSo!$B$28:$B$33,0)</f>
        <v/>
      </c>
    </row>
    <row r="33">
      <c r="A33" s="14" t="inlineStr">
        <is>
          <t>T3</t>
        </is>
      </c>
      <c r="B33" s="14" t="inlineStr">
        <is>
          <t>SP3 đen</t>
        </is>
      </c>
      <c r="C33" s="33" t="n"/>
      <c r="D33" s="33" t="n"/>
      <c r="E33" s="33" t="n"/>
      <c r="F33" s="33" t="n"/>
      <c r="G33" s="33" t="n"/>
      <c r="H33" s="33" t="n"/>
      <c r="I33" s="8" t="n"/>
      <c r="J33" s="8" t="n"/>
      <c r="K33" s="8" t="n"/>
      <c r="L33" s="33" t="n"/>
      <c r="M33" s="33" t="n"/>
      <c r="N33" s="11" t="n"/>
      <c r="O33" s="33" t="n"/>
      <c r="P33" s="33" t="n"/>
      <c r="Q33" s="34">
        <f>H33*IF(LEFT(B33,3)="SP3",ThamSo!$C$7,ThamSo!$C$6)</f>
        <v/>
      </c>
      <c r="R33" s="35">
        <f>MATCH(A33,ThamSo!$B$28:$B$33,0)</f>
        <v/>
      </c>
    </row>
    <row r="34">
      <c r="A34" s="14" t="inlineStr">
        <is>
          <t>T3</t>
        </is>
      </c>
      <c r="B34" s="14" t="inlineStr">
        <is>
          <t>SP3 hồng</t>
        </is>
      </c>
      <c r="C34" s="33" t="n"/>
      <c r="D34" s="33" t="n"/>
      <c r="E34" s="33" t="n"/>
      <c r="F34" s="33" t="n"/>
      <c r="G34" s="33" t="n"/>
      <c r="H34" s="33" t="n"/>
      <c r="I34" s="8" t="n"/>
      <c r="J34" s="8" t="n"/>
      <c r="K34" s="8" t="n"/>
      <c r="L34" s="33" t="n"/>
      <c r="M34" s="33" t="n"/>
      <c r="N34" s="11" t="n"/>
      <c r="O34" s="33" t="n"/>
      <c r="P34" s="33" t="n"/>
      <c r="Q34" s="34">
        <f>H34*IF(LEFT(B34,3)="SP3",ThamSo!$C$7,ThamSo!$C$6)</f>
        <v/>
      </c>
      <c r="R34" s="35">
        <f>MATCH(A34,ThamSo!$B$28:$B$33,0)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46" customWidth="1" min="11" max="11"/>
  </cols>
  <sheetData>
    <row r="1">
      <c r="A1" s="1" t="n"/>
      <c r="B1" s="2" t="inlineStr">
        <is>
          <t>SIXDO – Dashboard đo lường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5" t="inlineStr">
        <is>
          <t>Tháng đang xem</t>
        </is>
      </c>
      <c r="C3" s="13" t="inlineStr">
        <is>
          <t>T12</t>
        </is>
      </c>
      <c r="D3" s="17">
        <f>MATCH(C3,ThamSo!$B$28:$B$33,0)</f>
        <v/>
      </c>
      <c r="E3" s="17" t="inlineStr">
        <is>
          <t>← thứ tự tháng (công thức)</t>
        </is>
      </c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8" t="inlineStr">
        <is>
          <t>Tổng hợp đến hết tháng đang xem</t>
        </is>
      </c>
      <c r="C5" s="18" t="inlineStr">
        <is>
          <t>Thực tế</t>
        </is>
      </c>
      <c r="D5" s="18" t="inlineStr">
        <is>
          <t>Cơ sở</t>
        </is>
      </c>
      <c r="E5" s="18" t="inlineStr">
        <is>
          <t>Mục tiêu</t>
        </is>
      </c>
      <c r="F5" s="18" t="inlineStr">
        <is>
          <t>Trạng thái</t>
        </is>
      </c>
      <c r="G5" s="18" t="n"/>
      <c r="H5" s="18" t="n"/>
      <c r="I5" s="18" t="n"/>
      <c r="J5" s="18" t="n"/>
      <c r="K5" s="18" t="n"/>
    </row>
    <row r="6">
      <c r="A6" s="1" t="n"/>
      <c r="B6" s="6" t="inlineStr">
        <is>
          <t>Units lũy kế</t>
        </is>
      </c>
      <c r="C6" s="25">
        <f>SUMIFS(NhapLieu!$H$5:$H$34,NhapLieu!$R$5:$R$34,"&lt;="&amp;$D$3)</f>
        <v/>
      </c>
      <c r="D6" s="36">
        <f>INDEX(KeHoach!$C$14:$H$14,$D$3)</f>
        <v/>
      </c>
      <c r="E6" s="36">
        <f>INDEX(KeHoach!$C$29:$H$29,$D$3)</f>
        <v/>
      </c>
      <c r="F6" s="37">
        <f>IF(C6=0,"-",IF(C6&gt;=D6*ThamSo!$C$9,"Đạt",IF(C6&gt;=D6*ThamSo!$C$10,"Theo dõi","Cảnh báo")))</f>
        <v/>
      </c>
      <c r="G6" s="6" t="n"/>
      <c r="H6" s="6" t="n"/>
      <c r="I6" s="6" t="n"/>
      <c r="J6" s="6" t="n"/>
      <c r="K6" s="6" t="inlineStr">
        <is>
          <t>So với kịch bản cơ sở</t>
        </is>
      </c>
    </row>
    <row r="7">
      <c r="A7" s="1" t="n"/>
      <c r="B7" s="6" t="inlineStr">
        <is>
          <t>Sell-through lũy kế</t>
        </is>
      </c>
      <c r="C7" s="26">
        <f>C6/ThamSo!$C$25</f>
        <v/>
      </c>
      <c r="D7" s="38">
        <f>INDEX(KeHoach!$C$15:$H$15,$D$3)</f>
        <v/>
      </c>
      <c r="E7" s="38">
        <f>INDEX(KeHoach!$C$30:$H$30,$D$3)</f>
        <v/>
      </c>
      <c r="F7" s="37">
        <f>F6</f>
        <v/>
      </c>
      <c r="G7" s="6" t="n"/>
      <c r="H7" s="6" t="n"/>
      <c r="I7" s="6" t="n"/>
      <c r="J7" s="6" t="n"/>
      <c r="K7" s="6" t="inlineStr">
        <is>
          <t>Đi cùng units lũy kế</t>
        </is>
      </c>
    </row>
    <row r="8">
      <c r="A8" s="1" t="n"/>
      <c r="B8" s="6" t="inlineStr">
        <is>
          <t>Unit Session % lũy kế (sessions Amazon)</t>
        </is>
      </c>
      <c r="C8" s="39">
        <f>IF(SUMIFS(NhapLieu!$E$5:$E$34,NhapLieu!$R$5:$R$34,"&lt;="&amp;$D$3)-SUMIFS(NhapLieu!$G$5:$G$34,NhapLieu!$R$5:$R$34,"&lt;="&amp;$D$3)=0,0,(C6-SUMIFS(NhapLieu!$L$5:$L$34,NhapLieu!$R$5:$R$34,"&lt;="&amp;$D$3))/(SUMIFS(NhapLieu!$E$5:$E$34,NhapLieu!$R$5:$R$34,"&lt;="&amp;$D$3)-SUMIFS(NhapLieu!$G$5:$G$34,NhapLieu!$R$5:$R$34,"&lt;="&amp;$D$3)))</f>
        <v/>
      </c>
      <c r="D8" s="40">
        <f>INDEX(KeHoach!$C$8:$H$8,$D$3)</f>
        <v/>
      </c>
      <c r="E8" s="40">
        <f>INDEX(KeHoach!$C$23:$H$23,$D$3)</f>
        <v/>
      </c>
      <c r="F8" s="37">
        <f>IF(C8=0,"-",IF(C8&gt;=ThamSo!$C$4*ThamSo!$C$8,"Đạt",IF(C8&gt;=ThamSo!$C$4,"Theo dõi","Cảnh báo")))</f>
        <v/>
      </c>
      <c r="G8" s="6" t="n"/>
      <c r="H8" s="6" t="n"/>
      <c r="I8" s="6" t="n"/>
      <c r="J8" s="6" t="n"/>
      <c r="K8" s="6" t="inlineStr">
        <is>
          <t>Đạt khi ≥ 1,5 lần baseline</t>
        </is>
      </c>
    </row>
    <row r="9">
      <c r="A9" s="1" t="n"/>
      <c r="B9" s="6" t="inlineStr">
        <is>
          <t>Uplift CVR (lần baseline)</t>
        </is>
      </c>
      <c r="C9" s="41">
        <f>C8/ThamSo!$C$4</f>
        <v/>
      </c>
      <c r="D9" s="42">
        <f>D8/ThamSo!$C$4</f>
        <v/>
      </c>
      <c r="E9" s="42">
        <f>E8/ThamSo!$C$4</f>
        <v/>
      </c>
      <c r="F9" s="37">
        <f>F8</f>
        <v/>
      </c>
      <c r="G9" s="6" t="n"/>
      <c r="H9" s="6" t="n"/>
      <c r="I9" s="6" t="n"/>
      <c r="J9" s="6" t="n"/>
      <c r="K9" s="6" t="inlineStr">
        <is>
          <t>Đề bài: ≥ 1,5x</t>
        </is>
      </c>
    </row>
    <row r="10">
      <c r="A10" s="1" t="n"/>
      <c r="B10" s="6" t="inlineStr">
        <is>
          <t>Doanh số lũy kế (USD)</t>
        </is>
      </c>
      <c r="C10" s="25">
        <f>SUMIFS(NhapLieu!$I$5:$I$34,NhapLieu!$R$5:$R$34,"&lt;="&amp;$D$3)</f>
        <v/>
      </c>
      <c r="D10" s="36">
        <f>SUMPRODUCT((COLUMN(KeHoach!$C$16:$H$16)-2&lt;=$D$3)*KeHoach!$C$16:$H$16)</f>
        <v/>
      </c>
      <c r="E10" s="36">
        <f>SUMPRODUCT((COLUMN(KeHoach!$C$31:$H$31)-2&lt;=$D$3)*KeHoach!$C$31:$H$31)</f>
        <v/>
      </c>
      <c r="F10" s="37">
        <f>IF(C10=0,"-",IF(C10&gt;=D10*ThamSo!$C$9,"Đạt",IF(C10&gt;=D10*ThamSo!$C$10,"Theo dõi","Cảnh báo")))</f>
        <v/>
      </c>
      <c r="G10" s="6" t="n"/>
      <c r="H10" s="6" t="n"/>
      <c r="I10" s="6" t="n"/>
      <c r="J10" s="6" t="n"/>
      <c r="K10" s="6" t="inlineStr">
        <is>
          <t>Kế hoạch tính theo giá niêm yết</t>
        </is>
      </c>
    </row>
    <row r="11">
      <c r="A11" s="1" t="n"/>
      <c r="B11" s="6" t="inlineStr">
        <is>
          <t>Giá bán TB (% giá niêm yết)</t>
        </is>
      </c>
      <c r="C11" s="26">
        <f>IF(SUMIFS(NhapLieu!$Q$5:$Q$34,NhapLieu!$R$5:$R$34,"&lt;="&amp;$D$3)=0,0,C10/SUMIFS(NhapLieu!$Q$5:$Q$34,NhapLieu!$R$5:$R$34,"&lt;="&amp;$D$3))</f>
        <v/>
      </c>
      <c r="D11" s="38">
        <f>ThamSo!$C$11</f>
        <v/>
      </c>
      <c r="E11" s="38">
        <f>ThamSo!$C$11</f>
        <v/>
      </c>
      <c r="F11" s="37">
        <f>IF(C11=0,"-",IF(C11&gt;=ThamSo!$C$11,"Đạt","Cảnh báo"))</f>
        <v/>
      </c>
      <c r="G11" s="6" t="n"/>
      <c r="H11" s="6" t="n"/>
      <c r="I11" s="6" t="n"/>
      <c r="J11" s="6" t="n"/>
      <c r="K11" s="6" t="inlineStr">
        <is>
          <t>Giữ giá: ≥ 95%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5" t="inlineStr">
        <is>
          <t>Theo tháng</t>
        </is>
      </c>
      <c r="C14" s="5" t="inlineStr">
        <is>
          <t>T10</t>
        </is>
      </c>
      <c r="D14" s="5" t="inlineStr">
        <is>
          <t>T11</t>
        </is>
      </c>
      <c r="E14" s="5" t="inlineStr">
        <is>
          <t>T12</t>
        </is>
      </c>
      <c r="F14" s="5" t="inlineStr">
        <is>
          <t>T1</t>
        </is>
      </c>
      <c r="G14" s="5" t="inlineStr">
        <is>
          <t>T2</t>
        </is>
      </c>
      <c r="H14" s="5" t="inlineStr">
        <is>
          <t>T3</t>
        </is>
      </c>
      <c r="I14" s="5" t="inlineStr">
        <is>
          <t>Cả kỳ</t>
        </is>
      </c>
      <c r="J14" s="5" t="inlineStr">
        <is>
          <t>Trạng thái tháng đang xem</t>
        </is>
      </c>
      <c r="K14" s="5" t="inlineStr">
        <is>
          <t>Công thức / nguồn</t>
        </is>
      </c>
    </row>
    <row r="15">
      <c r="A15" s="1" t="n"/>
      <c r="B15" s="6" t="inlineStr">
        <is>
          <t>Impression tìm kiếm</t>
        </is>
      </c>
      <c r="C15" s="25">
        <f>SUMIFS(NhapLieu!$C$5:$C$34,NhapLieu!$A$5:$A$34,C$14)</f>
        <v/>
      </c>
      <c r="D15" s="25">
        <f>SUMIFS(NhapLieu!$C$5:$C$34,NhapLieu!$A$5:$A$34,D$14)</f>
        <v/>
      </c>
      <c r="E15" s="25">
        <f>SUMIFS(NhapLieu!$C$5:$C$34,NhapLieu!$A$5:$A$34,E$14)</f>
        <v/>
      </c>
      <c r="F15" s="25">
        <f>SUMIFS(NhapLieu!$C$5:$C$34,NhapLieu!$A$5:$A$34,F$14)</f>
        <v/>
      </c>
      <c r="G15" s="25">
        <f>SUMIFS(NhapLieu!$C$5:$C$34,NhapLieu!$A$5:$A$34,G$14)</f>
        <v/>
      </c>
      <c r="H15" s="25">
        <f>SUMIFS(NhapLieu!$C$5:$C$34,NhapLieu!$A$5:$A$34,H$14)</f>
        <v/>
      </c>
      <c r="I15" s="25">
        <f>SUM(C15:H15)</f>
        <v/>
      </c>
      <c r="J15" s="6" t="n"/>
      <c r="K15" s="6" t="inlineStr">
        <is>
          <t>SQP</t>
        </is>
      </c>
    </row>
    <row r="16">
      <c r="A16" s="1" t="n"/>
      <c r="B16" s="6" t="inlineStr">
        <is>
          <t>CTR tìm kiếm</t>
        </is>
      </c>
      <c r="C16" s="43">
        <f>IF(C15=0,0,SUMIFS(NhapLieu!$D$5:$D$34,NhapLieu!$A$5:$A$34,C$14)/C15)</f>
        <v/>
      </c>
      <c r="D16" s="43">
        <f>IF(D15=0,0,SUMIFS(NhapLieu!$D$5:$D$34,NhapLieu!$A$5:$A$34,D$14)/D15)</f>
        <v/>
      </c>
      <c r="E16" s="43">
        <f>IF(E15=0,0,SUMIFS(NhapLieu!$D$5:$D$34,NhapLieu!$A$5:$A$34,E$14)/E15)</f>
        <v/>
      </c>
      <c r="F16" s="43">
        <f>IF(F15=0,0,SUMIFS(NhapLieu!$D$5:$D$34,NhapLieu!$A$5:$A$34,F$14)/F15)</f>
        <v/>
      </c>
      <c r="G16" s="43">
        <f>IF(G15=0,0,SUMIFS(NhapLieu!$D$5:$D$34,NhapLieu!$A$5:$A$34,G$14)/G15)</f>
        <v/>
      </c>
      <c r="H16" s="43">
        <f>IF(H15=0,0,SUMIFS(NhapLieu!$D$5:$D$34,NhapLieu!$A$5:$A$34,H$14)/H15)</f>
        <v/>
      </c>
      <c r="I16" s="43">
        <f>IF(I15=0,0,SUM(NhapLieu!$D$5:$D$34)/I15)</f>
        <v/>
      </c>
      <c r="J16" s="37">
        <f>IF(INDEX(C16:H16,$D$3)=0,"-",IF(INDEX(C16:H16,$D$3)&gt;=ThamSo!$C$16,"Đạt","Theo dõi"))</f>
        <v/>
      </c>
      <c r="K16" s="6" t="inlineStr">
        <is>
          <t>Click ÷ impression (SQP)</t>
        </is>
      </c>
    </row>
    <row r="17">
      <c r="A17" s="1" t="n"/>
      <c r="B17" s="6" t="inlineStr">
        <is>
          <t>Sessions tổng</t>
        </is>
      </c>
      <c r="C17" s="25">
        <f>SUMIFS(NhapLieu!$E$5:$E$34,NhapLieu!$A$5:$A$34,C$14)</f>
        <v/>
      </c>
      <c r="D17" s="25">
        <f>SUMIFS(NhapLieu!$E$5:$E$34,NhapLieu!$A$5:$A$34,D$14)</f>
        <v/>
      </c>
      <c r="E17" s="25">
        <f>SUMIFS(NhapLieu!$E$5:$E$34,NhapLieu!$A$5:$A$34,E$14)</f>
        <v/>
      </c>
      <c r="F17" s="25">
        <f>SUMIFS(NhapLieu!$E$5:$E$34,NhapLieu!$A$5:$A$34,F$14)</f>
        <v/>
      </c>
      <c r="G17" s="25">
        <f>SUMIFS(NhapLieu!$E$5:$E$34,NhapLieu!$A$5:$A$34,G$14)</f>
        <v/>
      </c>
      <c r="H17" s="25">
        <f>SUMIFS(NhapLieu!$E$5:$E$34,NhapLieu!$A$5:$A$34,H$14)</f>
        <v/>
      </c>
      <c r="I17" s="25">
        <f>SUM(C17:H17)</f>
        <v/>
      </c>
      <c r="J17" s="6" t="n"/>
      <c r="K17" s="6" t="inlineStr">
        <is>
          <t>Business Report</t>
        </is>
      </c>
    </row>
    <row r="18">
      <c r="A18" s="1" t="n"/>
      <c r="B18" s="44" t="inlineStr">
        <is>
          <t xml:space="preserve">  Sessions tự nhiên</t>
        </is>
      </c>
      <c r="C18" s="25">
        <f>C17-C19-C20</f>
        <v/>
      </c>
      <c r="D18" s="25">
        <f>D17-D19-D20</f>
        <v/>
      </c>
      <c r="E18" s="25">
        <f>E17-E19-E20</f>
        <v/>
      </c>
      <c r="F18" s="25">
        <f>F17-F19-F20</f>
        <v/>
      </c>
      <c r="G18" s="25">
        <f>G17-G19-G20</f>
        <v/>
      </c>
      <c r="H18" s="25">
        <f>H17-H19-H20</f>
        <v/>
      </c>
      <c r="I18" s="25">
        <f>SUM(C18:H18)</f>
        <v/>
      </c>
      <c r="J18" s="6" t="n"/>
      <c r="K18" s="6" t="inlineStr">
        <is>
          <t>Tổng − PPC − ngoài sàn</t>
        </is>
      </c>
    </row>
    <row r="19">
      <c r="A19" s="1" t="n"/>
      <c r="B19" s="44" t="inlineStr">
        <is>
          <t xml:space="preserve">  Click PPC</t>
        </is>
      </c>
      <c r="C19" s="25">
        <f>SUMIFS(NhapLieu!$F$5:$F$34,NhapLieu!$A$5:$A$34,C$14)</f>
        <v/>
      </c>
      <c r="D19" s="25">
        <f>SUMIFS(NhapLieu!$F$5:$F$34,NhapLieu!$A$5:$A$34,D$14)</f>
        <v/>
      </c>
      <c r="E19" s="25">
        <f>SUMIFS(NhapLieu!$F$5:$F$34,NhapLieu!$A$5:$A$34,E$14)</f>
        <v/>
      </c>
      <c r="F19" s="25">
        <f>SUMIFS(NhapLieu!$F$5:$F$34,NhapLieu!$A$5:$A$34,F$14)</f>
        <v/>
      </c>
      <c r="G19" s="25">
        <f>SUMIFS(NhapLieu!$F$5:$F$34,NhapLieu!$A$5:$A$34,G$14)</f>
        <v/>
      </c>
      <c r="H19" s="25">
        <f>SUMIFS(NhapLieu!$F$5:$F$34,NhapLieu!$A$5:$A$34,H$14)</f>
        <v/>
      </c>
      <c r="I19" s="25">
        <f>SUM(C19:H19)</f>
        <v/>
      </c>
      <c r="J19" s="6" t="n"/>
      <c r="K19" s="6" t="inlineStr">
        <is>
          <t>Advertising console</t>
        </is>
      </c>
    </row>
    <row r="20">
      <c r="A20" s="1" t="n"/>
      <c r="B20" s="44" t="inlineStr">
        <is>
          <t xml:space="preserve">  Click ngoài sàn</t>
        </is>
      </c>
      <c r="C20" s="25">
        <f>SUMIFS(NhapLieu!$G$5:$G$34,NhapLieu!$A$5:$A$34,C$14)</f>
        <v/>
      </c>
      <c r="D20" s="25">
        <f>SUMIFS(NhapLieu!$G$5:$G$34,NhapLieu!$A$5:$A$34,D$14)</f>
        <v/>
      </c>
      <c r="E20" s="25">
        <f>SUMIFS(NhapLieu!$G$5:$G$34,NhapLieu!$A$5:$A$34,E$14)</f>
        <v/>
      </c>
      <c r="F20" s="25">
        <f>SUMIFS(NhapLieu!$G$5:$G$34,NhapLieu!$A$5:$A$34,F$14)</f>
        <v/>
      </c>
      <c r="G20" s="25">
        <f>SUMIFS(NhapLieu!$G$5:$G$34,NhapLieu!$A$5:$A$34,G$14)</f>
        <v/>
      </c>
      <c r="H20" s="25">
        <f>SUMIFS(NhapLieu!$G$5:$G$34,NhapLieu!$A$5:$A$34,H$14)</f>
        <v/>
      </c>
      <c r="I20" s="25">
        <f>SUM(C20:H20)</f>
        <v/>
      </c>
      <c r="J20" s="6" t="n"/>
      <c r="K20" s="6" t="inlineStr">
        <is>
          <t>Amazon Attribution</t>
        </is>
      </c>
    </row>
    <row r="21">
      <c r="A21" s="1" t="n"/>
      <c r="B21" s="6" t="inlineStr">
        <is>
          <t>Unit Session % (sessions Amazon)</t>
        </is>
      </c>
      <c r="C21" s="39">
        <f>IF(C17-C20=0,0,(C23-SUMIFS(NhapLieu!$L$5:$L$34,NhapLieu!$A$5:$A$34,C$14))/(C17-C20))</f>
        <v/>
      </c>
      <c r="D21" s="39">
        <f>IF(D17-D20=0,0,(D23-SUMIFS(NhapLieu!$L$5:$L$34,NhapLieu!$A$5:$A$34,D$14))/(D17-D20))</f>
        <v/>
      </c>
      <c r="E21" s="39">
        <f>IF(E17-E20=0,0,(E23-SUMIFS(NhapLieu!$L$5:$L$34,NhapLieu!$A$5:$A$34,E$14))/(E17-E20))</f>
        <v/>
      </c>
      <c r="F21" s="39">
        <f>IF(F17-F20=0,0,(F23-SUMIFS(NhapLieu!$L$5:$L$34,NhapLieu!$A$5:$A$34,F$14))/(F17-F20))</f>
        <v/>
      </c>
      <c r="G21" s="39">
        <f>IF(G17-G20=0,0,(G23-SUMIFS(NhapLieu!$L$5:$L$34,NhapLieu!$A$5:$A$34,G$14))/(G17-G20))</f>
        <v/>
      </c>
      <c r="H21" s="39">
        <f>IF(H17-H20=0,0,(H23-SUMIFS(NhapLieu!$L$5:$L$34,NhapLieu!$A$5:$A$34,H$14))/(H17-H20))</f>
        <v/>
      </c>
      <c r="I21" s="39">
        <f>IF(I17-I20=0,0,(I23-I36)/(I17-I20))</f>
        <v/>
      </c>
      <c r="J21" s="37">
        <f>IF(INDEX(C21:H21,$D$3)=0,"-",IF(INDEX(C21:H21,$D$3)&gt;=ThamSo!$C$4*ThamSo!$C$8,"Đạt",IF(INDEX(C21:H21,$D$3)&gt;=ThamSo!$C$4,"Theo dõi","Cảnh báo")))</f>
        <v/>
      </c>
      <c r="K21" s="6" t="inlineStr">
        <is>
          <t>(Units − units ngoài sàn) ÷ (sessions − click ngoài sàn)</t>
        </is>
      </c>
    </row>
    <row r="22">
      <c r="A22" s="1" t="n"/>
      <c r="B22" s="6" t="inlineStr">
        <is>
          <t>Uplift CVR (lần baseline)</t>
        </is>
      </c>
      <c r="C22" s="41">
        <f>C21/ThamSo!$C$4</f>
        <v/>
      </c>
      <c r="D22" s="41">
        <f>D21/ThamSo!$C$4</f>
        <v/>
      </c>
      <c r="E22" s="41">
        <f>E21/ThamSo!$C$4</f>
        <v/>
      </c>
      <c r="F22" s="41">
        <f>F21/ThamSo!$C$4</f>
        <v/>
      </c>
      <c r="G22" s="41">
        <f>G21/ThamSo!$C$4</f>
        <v/>
      </c>
      <c r="H22" s="41">
        <f>H21/ThamSo!$C$4</f>
        <v/>
      </c>
      <c r="I22" s="41">
        <f>I21/ThamSo!$C$4</f>
        <v/>
      </c>
      <c r="J22" s="37">
        <f>IF(INDEX(C22:H22,$D$3)=0,"-",IF(INDEX(C22:H22,$D$3)&gt;=ThamSo!$C$8,"Đạt",IF(INDEX(C22:H22,$D$3)&gt;=1,"Theo dõi","Cảnh báo")))</f>
        <v/>
      </c>
      <c r="K22" s="6" t="inlineStr">
        <is>
          <t>Mục tiêu ≥ 1,5x</t>
        </is>
      </c>
    </row>
    <row r="23">
      <c r="A23" s="1" t="n"/>
      <c r="B23" s="6" t="inlineStr">
        <is>
          <t>Units bán</t>
        </is>
      </c>
      <c r="C23" s="25">
        <f>SUMIFS(NhapLieu!$H$5:$H$34,NhapLieu!$A$5:$A$34,C$14)</f>
        <v/>
      </c>
      <c r="D23" s="25">
        <f>SUMIFS(NhapLieu!$H$5:$H$34,NhapLieu!$A$5:$A$34,D$14)</f>
        <v/>
      </c>
      <c r="E23" s="25">
        <f>SUMIFS(NhapLieu!$H$5:$H$34,NhapLieu!$A$5:$A$34,E$14)</f>
        <v/>
      </c>
      <c r="F23" s="25">
        <f>SUMIFS(NhapLieu!$H$5:$H$34,NhapLieu!$A$5:$A$34,F$14)</f>
        <v/>
      </c>
      <c r="G23" s="25">
        <f>SUMIFS(NhapLieu!$H$5:$H$34,NhapLieu!$A$5:$A$34,G$14)</f>
        <v/>
      </c>
      <c r="H23" s="25">
        <f>SUMIFS(NhapLieu!$H$5:$H$34,NhapLieu!$A$5:$A$34,H$14)</f>
        <v/>
      </c>
      <c r="I23" s="25">
        <f>SUM(C23:H23)</f>
        <v/>
      </c>
      <c r="J23" s="6" t="n"/>
      <c r="K23" s="6" t="inlineStr">
        <is>
          <t>Business Report</t>
        </is>
      </c>
    </row>
    <row r="24">
      <c r="A24" s="1" t="n"/>
      <c r="B24" s="6" t="inlineStr">
        <is>
          <t>Units kế hoạch (cơ sở)</t>
        </is>
      </c>
      <c r="C24" s="25">
        <f>KeHoach!C13</f>
        <v/>
      </c>
      <c r="D24" s="25">
        <f>KeHoach!D13</f>
        <v/>
      </c>
      <c r="E24" s="25">
        <f>KeHoach!E13</f>
        <v/>
      </c>
      <c r="F24" s="25">
        <f>KeHoach!F13</f>
        <v/>
      </c>
      <c r="G24" s="25">
        <f>KeHoach!G13</f>
        <v/>
      </c>
      <c r="H24" s="25">
        <f>KeHoach!H13</f>
        <v/>
      </c>
      <c r="I24" s="25">
        <f>SUM(C24:H24)</f>
        <v/>
      </c>
      <c r="J24" s="6" t="n"/>
      <c r="K24" s="6" t="inlineStr">
        <is>
          <t>Sheet KeHoach</t>
        </is>
      </c>
    </row>
    <row r="25">
      <c r="A25" s="1" t="n"/>
      <c r="B25" s="6" t="inlineStr">
        <is>
          <t>% kế hoạch</t>
        </is>
      </c>
      <c r="C25" s="26">
        <f>IF(C24=0,0,C23/C24)</f>
        <v/>
      </c>
      <c r="D25" s="26">
        <f>IF(D24=0,0,D23/D24)</f>
        <v/>
      </c>
      <c r="E25" s="26">
        <f>IF(E24=0,0,E23/E24)</f>
        <v/>
      </c>
      <c r="F25" s="26">
        <f>IF(F24=0,0,F23/F24)</f>
        <v/>
      </c>
      <c r="G25" s="26">
        <f>IF(G24=0,0,G23/G24)</f>
        <v/>
      </c>
      <c r="H25" s="26">
        <f>IF(H24=0,0,H23/H24)</f>
        <v/>
      </c>
      <c r="I25" s="26">
        <f>IF(I24=0,0,I23/I24)</f>
        <v/>
      </c>
      <c r="J25" s="37">
        <f>IF(INDEX(C25:H25,$D$3)=0,"-",IF(INDEX(C25:H25,$D$3)&gt;=ThamSo!$C$9,"Đạt",IF(INDEX(C25:H25,$D$3)&gt;=ThamSo!$C$10,"Theo dõi","Cảnh báo")))</f>
        <v/>
      </c>
      <c r="K25" s="6" t="inlineStr">
        <is>
          <t>Đạt ≥ 90%; cảnh báo &lt; 70%</t>
        </is>
      </c>
    </row>
    <row r="26">
      <c r="A26" s="1" t="n"/>
      <c r="B26" s="6" t="inlineStr">
        <is>
          <t>Sell-through lũy kế</t>
        </is>
      </c>
      <c r="C26" s="26">
        <f>SUMIFS(NhapLieu!$H$5:$H$34,NhapLieu!$R$5:$R$34,"&lt;="&amp;MATCH(C$14,ThamSo!$B$28:$B$33,0))/ThamSo!$C$25</f>
        <v/>
      </c>
      <c r="D26" s="26">
        <f>SUMIFS(NhapLieu!$H$5:$H$34,NhapLieu!$R$5:$R$34,"&lt;="&amp;MATCH(D$14,ThamSo!$B$28:$B$33,0))/ThamSo!$C$25</f>
        <v/>
      </c>
      <c r="E26" s="26">
        <f>SUMIFS(NhapLieu!$H$5:$H$34,NhapLieu!$R$5:$R$34,"&lt;="&amp;MATCH(E$14,ThamSo!$B$28:$B$33,0))/ThamSo!$C$25</f>
        <v/>
      </c>
      <c r="F26" s="26">
        <f>SUMIFS(NhapLieu!$H$5:$H$34,NhapLieu!$R$5:$R$34,"&lt;="&amp;MATCH(F$14,ThamSo!$B$28:$B$33,0))/ThamSo!$C$25</f>
        <v/>
      </c>
      <c r="G26" s="26">
        <f>SUMIFS(NhapLieu!$H$5:$H$34,NhapLieu!$R$5:$R$34,"&lt;="&amp;MATCH(G$14,ThamSo!$B$28:$B$33,0))/ThamSo!$C$25</f>
        <v/>
      </c>
      <c r="H26" s="26">
        <f>SUMIFS(NhapLieu!$H$5:$H$34,NhapLieu!$R$5:$R$34,"&lt;="&amp;MATCH(H$14,ThamSo!$B$28:$B$33,0))/ThamSo!$C$25</f>
        <v/>
      </c>
      <c r="I26" s="26">
        <f>H26</f>
        <v/>
      </c>
      <c r="J26" s="6" t="n"/>
      <c r="K26" s="6" t="inlineStr">
        <is>
          <t>Units lũy kế ÷ tồn đầu kỳ</t>
        </is>
      </c>
    </row>
    <row r="27">
      <c r="A27" s="1" t="n"/>
      <c r="B27" s="6" t="inlineStr">
        <is>
          <t>Doanh số (USD)</t>
        </is>
      </c>
      <c r="C27" s="25">
        <f>SUMIFS(NhapLieu!$I$5:$I$34,NhapLieu!$A$5:$A$34,C$14)</f>
        <v/>
      </c>
      <c r="D27" s="25">
        <f>SUMIFS(NhapLieu!$I$5:$I$34,NhapLieu!$A$5:$A$34,D$14)</f>
        <v/>
      </c>
      <c r="E27" s="25">
        <f>SUMIFS(NhapLieu!$I$5:$I$34,NhapLieu!$A$5:$A$34,E$14)</f>
        <v/>
      </c>
      <c r="F27" s="25">
        <f>SUMIFS(NhapLieu!$I$5:$I$34,NhapLieu!$A$5:$A$34,F$14)</f>
        <v/>
      </c>
      <c r="G27" s="25">
        <f>SUMIFS(NhapLieu!$I$5:$I$34,NhapLieu!$A$5:$A$34,G$14)</f>
        <v/>
      </c>
      <c r="H27" s="25">
        <f>SUMIFS(NhapLieu!$I$5:$I$34,NhapLieu!$A$5:$A$34,H$14)</f>
        <v/>
      </c>
      <c r="I27" s="25">
        <f>SUM(C27:H27)</f>
        <v/>
      </c>
      <c r="J27" s="6" t="n"/>
      <c r="K27" s="6" t="inlineStr">
        <is>
          <t>Ordered product sales</t>
        </is>
      </c>
    </row>
    <row r="28">
      <c r="A28" s="1" t="n"/>
      <c r="B28" s="6" t="inlineStr">
        <is>
          <t>Giá bán TB (% niêm yết)</t>
        </is>
      </c>
      <c r="C28" s="26">
        <f>IF(SUMIFS(NhapLieu!$Q$5:$Q$34,NhapLieu!$A$5:$A$34,C$14)=0,0,C27/SUMIFS(NhapLieu!$Q$5:$Q$34,NhapLieu!$A$5:$A$34,C$14))</f>
        <v/>
      </c>
      <c r="D28" s="26">
        <f>IF(SUMIFS(NhapLieu!$Q$5:$Q$34,NhapLieu!$A$5:$A$34,D$14)=0,0,D27/SUMIFS(NhapLieu!$Q$5:$Q$34,NhapLieu!$A$5:$A$34,D$14))</f>
        <v/>
      </c>
      <c r="E28" s="26">
        <f>IF(SUMIFS(NhapLieu!$Q$5:$Q$34,NhapLieu!$A$5:$A$34,E$14)=0,0,E27/SUMIFS(NhapLieu!$Q$5:$Q$34,NhapLieu!$A$5:$A$34,E$14))</f>
        <v/>
      </c>
      <c r="F28" s="26">
        <f>IF(SUMIFS(NhapLieu!$Q$5:$Q$34,NhapLieu!$A$5:$A$34,F$14)=0,0,F27/SUMIFS(NhapLieu!$Q$5:$Q$34,NhapLieu!$A$5:$A$34,F$14))</f>
        <v/>
      </c>
      <c r="G28" s="26">
        <f>IF(SUMIFS(NhapLieu!$Q$5:$Q$34,NhapLieu!$A$5:$A$34,G$14)=0,0,G27/SUMIFS(NhapLieu!$Q$5:$Q$34,NhapLieu!$A$5:$A$34,G$14))</f>
        <v/>
      </c>
      <c r="H28" s="26">
        <f>IF(SUMIFS(NhapLieu!$Q$5:$Q$34,NhapLieu!$A$5:$A$34,H$14)=0,0,H27/SUMIFS(NhapLieu!$Q$5:$Q$34,NhapLieu!$A$5:$A$34,H$14))</f>
        <v/>
      </c>
      <c r="I28" s="26">
        <f>IF(SUM(NhapLieu!$Q$5:$Q$34)=0,0,I27/SUM(NhapLieu!$Q$5:$Q$34))</f>
        <v/>
      </c>
      <c r="J28" s="37">
        <f>IF(INDEX(C28:H28,$D$3)=0,"-",IF(INDEX(C28:H28,$D$3)&gt;=ThamSo!$C$11,"Đạt","Cảnh báo"))</f>
        <v/>
      </c>
      <c r="K28" s="6" t="inlineStr">
        <is>
          <t>Doanh số ÷ units × giá niêm yết</t>
        </is>
      </c>
    </row>
    <row r="29">
      <c r="A29" s="1" t="n"/>
      <c r="B29" s="6" t="inlineStr">
        <is>
          <t>Chi PPC (USD)</t>
        </is>
      </c>
      <c r="C29" s="25">
        <f>SUMIFS(NhapLieu!$J$5:$J$34,NhapLieu!$A$5:$A$34,C$14)</f>
        <v/>
      </c>
      <c r="D29" s="25">
        <f>SUMIFS(NhapLieu!$J$5:$J$34,NhapLieu!$A$5:$A$34,D$14)</f>
        <v/>
      </c>
      <c r="E29" s="25">
        <f>SUMIFS(NhapLieu!$J$5:$J$34,NhapLieu!$A$5:$A$34,E$14)</f>
        <v/>
      </c>
      <c r="F29" s="25">
        <f>SUMIFS(NhapLieu!$J$5:$J$34,NhapLieu!$A$5:$A$34,F$14)</f>
        <v/>
      </c>
      <c r="G29" s="25">
        <f>SUMIFS(NhapLieu!$J$5:$J$34,NhapLieu!$A$5:$A$34,G$14)</f>
        <v/>
      </c>
      <c r="H29" s="25">
        <f>SUMIFS(NhapLieu!$J$5:$J$34,NhapLieu!$A$5:$A$34,H$14)</f>
        <v/>
      </c>
      <c r="I29" s="25">
        <f>SUM(C29:H29)</f>
        <v/>
      </c>
      <c r="J29" s="6" t="n"/>
      <c r="K29" s="6" t="inlineStr">
        <is>
          <t>Advertising console</t>
        </is>
      </c>
    </row>
    <row r="30">
      <c r="A30" s="1" t="n"/>
      <c r="B30" s="6" t="inlineStr">
        <is>
          <t>ACoS</t>
        </is>
      </c>
      <c r="C30" s="39">
        <f>IF(SUMIFS(NhapLieu!$K$5:$K$34,NhapLieu!$A$5:$A$34,C$14)=0,0,C29/SUMIFS(NhapLieu!$K$5:$K$34,NhapLieu!$A$5:$A$34,C$14))</f>
        <v/>
      </c>
      <c r="D30" s="39">
        <f>IF(SUMIFS(NhapLieu!$K$5:$K$34,NhapLieu!$A$5:$A$34,D$14)=0,0,D29/SUMIFS(NhapLieu!$K$5:$K$34,NhapLieu!$A$5:$A$34,D$14))</f>
        <v/>
      </c>
      <c r="E30" s="39">
        <f>IF(SUMIFS(NhapLieu!$K$5:$K$34,NhapLieu!$A$5:$A$34,E$14)=0,0,E29/SUMIFS(NhapLieu!$K$5:$K$34,NhapLieu!$A$5:$A$34,E$14))</f>
        <v/>
      </c>
      <c r="F30" s="39">
        <f>IF(SUMIFS(NhapLieu!$K$5:$K$34,NhapLieu!$A$5:$A$34,F$14)=0,0,F29/SUMIFS(NhapLieu!$K$5:$K$34,NhapLieu!$A$5:$A$34,F$14))</f>
        <v/>
      </c>
      <c r="G30" s="39">
        <f>IF(SUMIFS(NhapLieu!$K$5:$K$34,NhapLieu!$A$5:$A$34,G$14)=0,0,G29/SUMIFS(NhapLieu!$K$5:$K$34,NhapLieu!$A$5:$A$34,G$14))</f>
        <v/>
      </c>
      <c r="H30" s="39">
        <f>IF(SUMIFS(NhapLieu!$K$5:$K$34,NhapLieu!$A$5:$A$34,H$14)=0,0,H29/SUMIFS(NhapLieu!$K$5:$K$34,NhapLieu!$A$5:$A$34,H$14))</f>
        <v/>
      </c>
      <c r="I30" s="39">
        <f>IF(SUM(NhapLieu!$K$5:$K$34)=0,0,I29/SUM(NhapLieu!$K$5:$K$34))</f>
        <v/>
      </c>
      <c r="J30" s="37">
        <f>IF(INDEX(C30:H30,$D$3)=0,"-",IF(INDEX(C30:H30,$D$3)&lt;=ThamSo!$C$13,"Đạt",IF(INDEX(C30:H30,$D$3)&lt;=ThamSo!$C$12,"Theo dõi","Cảnh báo")))</f>
        <v/>
      </c>
      <c r="K30" s="6" t="inlineStr">
        <is>
          <t>Chi PPC ÷ doanh số PPC; so với hòa vốn B</t>
        </is>
      </c>
    </row>
    <row r="31">
      <c r="A31" s="1" t="n"/>
      <c r="B31" s="6" t="inlineStr">
        <is>
          <t>TACoS</t>
        </is>
      </c>
      <c r="C31" s="39">
        <f>IF(C27=0,0,C29/C27)</f>
        <v/>
      </c>
      <c r="D31" s="39">
        <f>IF(D27=0,0,D29/D27)</f>
        <v/>
      </c>
      <c r="E31" s="39">
        <f>IF(E27=0,0,E29/E27)</f>
        <v/>
      </c>
      <c r="F31" s="39">
        <f>IF(F27=0,0,F29/F27)</f>
        <v/>
      </c>
      <c r="G31" s="39">
        <f>IF(G27=0,0,G29/G27)</f>
        <v/>
      </c>
      <c r="H31" s="39">
        <f>IF(H27=0,0,H29/H27)</f>
        <v/>
      </c>
      <c r="I31" s="39">
        <f>IF(I27=0,0,I29/I27)</f>
        <v/>
      </c>
      <c r="J31" s="6" t="n"/>
      <c r="K31" s="6" t="inlineStr">
        <is>
          <t>Chi PPC ÷ tổng doanh số</t>
        </is>
      </c>
    </row>
    <row r="32">
      <c r="A32" s="1" t="n"/>
      <c r="B32" s="6" t="inlineStr">
        <is>
          <t>Tỷ lệ hoàn</t>
        </is>
      </c>
      <c r="C32" s="39">
        <f>IF(C23=0,0,SUMIFS(NhapLieu!$M$5:$M$34,NhapLieu!$A$5:$A$34,C$14)/C23)</f>
        <v/>
      </c>
      <c r="D32" s="39">
        <f>IF(D23=0,0,SUMIFS(NhapLieu!$M$5:$M$34,NhapLieu!$A$5:$A$34,D$14)/D23)</f>
        <v/>
      </c>
      <c r="E32" s="39">
        <f>IF(E23=0,0,SUMIFS(NhapLieu!$M$5:$M$34,NhapLieu!$A$5:$A$34,E$14)/E23)</f>
        <v/>
      </c>
      <c r="F32" s="39">
        <f>IF(F23=0,0,SUMIFS(NhapLieu!$M$5:$M$34,NhapLieu!$A$5:$A$34,F$14)/F23)</f>
        <v/>
      </c>
      <c r="G32" s="39">
        <f>IF(G23=0,0,SUMIFS(NhapLieu!$M$5:$M$34,NhapLieu!$A$5:$A$34,G$14)/G23)</f>
        <v/>
      </c>
      <c r="H32" s="39">
        <f>IF(H23=0,0,SUMIFS(NhapLieu!$M$5:$M$34,NhapLieu!$A$5:$A$34,H$14)/H23)</f>
        <v/>
      </c>
      <c r="I32" s="39">
        <f>IF(I23=0,0,SUM(NhapLieu!$M$5:$M$34)/I23)</f>
        <v/>
      </c>
      <c r="J32" s="37">
        <f>IF(INDEX(C23:H23,$D$3)=0,"-",IF(INDEX(C32:H32,$D$3)&lt;=ThamSo!$C$14*0.75,"Đạt",IF(INDEX(C32:H32,$D$3)&lt;=ThamSo!$C$14,"Theo dõi","Cảnh báo")))</f>
        <v/>
      </c>
      <c r="K32" s="6" t="inlineStr">
        <is>
          <t>Units hoàn ÷ units bán; tối đa 20%</t>
        </is>
      </c>
    </row>
    <row r="33">
      <c r="A33" s="1" t="n"/>
      <c r="B33" s="6" t="inlineStr">
        <is>
          <t>Rating thấp nhất trong các SKU</t>
        </is>
      </c>
      <c r="C33" s="45">
        <f>IF(C23=0,0,_xlfn.MINIFS(NhapLieu!$N$5:$N$34,NhapLieu!$A$5:$A$34,C$14,NhapLieu!$N$5:$N$34,"&gt;0"))</f>
        <v/>
      </c>
      <c r="D33" s="45">
        <f>IF(D23=0,0,_xlfn.MINIFS(NhapLieu!$N$5:$N$34,NhapLieu!$A$5:$A$34,D$14,NhapLieu!$N$5:$N$34,"&gt;0"))</f>
        <v/>
      </c>
      <c r="E33" s="45">
        <f>IF(E23=0,0,_xlfn.MINIFS(NhapLieu!$N$5:$N$34,NhapLieu!$A$5:$A$34,E$14,NhapLieu!$N$5:$N$34,"&gt;0"))</f>
        <v/>
      </c>
      <c r="F33" s="45">
        <f>IF(F23=0,0,_xlfn.MINIFS(NhapLieu!$N$5:$N$34,NhapLieu!$A$5:$A$34,F$14,NhapLieu!$N$5:$N$34,"&gt;0"))</f>
        <v/>
      </c>
      <c r="G33" s="45">
        <f>IF(G23=0,0,_xlfn.MINIFS(NhapLieu!$N$5:$N$34,NhapLieu!$A$5:$A$34,G$14,NhapLieu!$N$5:$N$34,"&gt;0"))</f>
        <v/>
      </c>
      <c r="H33" s="45">
        <f>IF(H23=0,0,_xlfn.MINIFS(NhapLieu!$N$5:$N$34,NhapLieu!$A$5:$A$34,H$14,NhapLieu!$N$5:$N$34,"&gt;0"))</f>
        <v/>
      </c>
      <c r="I33" s="45">
        <f>_xlfn.MINIFS(C33:H33,C33:H33,"&gt;0")</f>
        <v/>
      </c>
      <c r="J33" s="37">
        <f>IF(INDEX(C33:H33,$D$3)=0,"-",IF(INDEX(C33:H33,$D$3)&gt;=ThamSo!$C$15,"Đạt","Cảnh báo"))</f>
        <v/>
      </c>
      <c r="K33" s="6" t="inlineStr">
        <is>
          <t>Tối thiểu 4,3</t>
        </is>
      </c>
    </row>
    <row r="34">
      <c r="A34" s="1" t="n"/>
      <c r="B34" s="6" t="inlineStr">
        <is>
          <t>% units từ truy vấn theo dịp</t>
        </is>
      </c>
      <c r="C34" s="26">
        <f>IF(C23=0,0,SUMIFS(NhapLieu!$O$5:$O$34,NhapLieu!$A$5:$A$34,C$14)/C23)</f>
        <v/>
      </c>
      <c r="D34" s="26">
        <f>IF(D23=0,0,SUMIFS(NhapLieu!$O$5:$O$34,NhapLieu!$A$5:$A$34,D$14)/D23)</f>
        <v/>
      </c>
      <c r="E34" s="26">
        <f>IF(E23=0,0,SUMIFS(NhapLieu!$O$5:$O$34,NhapLieu!$A$5:$A$34,E$14)/E23)</f>
        <v/>
      </c>
      <c r="F34" s="26">
        <f>IF(F23=0,0,SUMIFS(NhapLieu!$O$5:$O$34,NhapLieu!$A$5:$A$34,F$14)/F23)</f>
        <v/>
      </c>
      <c r="G34" s="26">
        <f>IF(G23=0,0,SUMIFS(NhapLieu!$O$5:$O$34,NhapLieu!$A$5:$A$34,G$14)/G23)</f>
        <v/>
      </c>
      <c r="H34" s="26">
        <f>IF(H23=0,0,SUMIFS(NhapLieu!$O$5:$O$34,NhapLieu!$A$5:$A$34,H$14)/H23)</f>
        <v/>
      </c>
      <c r="I34" s="26">
        <f>IF(I23=0,0,SUM(NhapLieu!$O$5:$O$34)/I23)</f>
        <v/>
      </c>
      <c r="J34" s="37">
        <f>IF(INDEX(C23:H23,$D$3)=0,"-",IF(INDEX(C34:H34,$D$3)&gt;=INDEX(KeHoach!$C$11:$H$11,$D$3),"Đạt","Theo dõi"))</f>
        <v/>
      </c>
      <c r="K34" s="6" t="inlineStr">
        <is>
          <t>Mục tiêu 20% (T10) → 50% (T3)</t>
        </is>
      </c>
    </row>
    <row r="35">
      <c r="A35" s="1" t="n"/>
      <c r="B35" s="6" t="inlineStr">
        <is>
          <t>% units từ khách mới [KC]</t>
        </is>
      </c>
      <c r="C35" s="26">
        <f>IF(C23=0,0,SUMIFS(NhapLieu!$P$5:$P$34,NhapLieu!$A$5:$A$34,C$14)/C23)</f>
        <v/>
      </c>
      <c r="D35" s="26">
        <f>IF(D23=0,0,SUMIFS(NhapLieu!$P$5:$P$34,NhapLieu!$A$5:$A$34,D$14)/D23)</f>
        <v/>
      </c>
      <c r="E35" s="26">
        <f>IF(E23=0,0,SUMIFS(NhapLieu!$P$5:$P$34,NhapLieu!$A$5:$A$34,E$14)/E23)</f>
        <v/>
      </c>
      <c r="F35" s="26">
        <f>IF(F23=0,0,SUMIFS(NhapLieu!$P$5:$P$34,NhapLieu!$A$5:$A$34,F$14)/F23)</f>
        <v/>
      </c>
      <c r="G35" s="26">
        <f>IF(G23=0,0,SUMIFS(NhapLieu!$P$5:$P$34,NhapLieu!$A$5:$A$34,G$14)/G23)</f>
        <v/>
      </c>
      <c r="H35" s="26">
        <f>IF(H23=0,0,SUMIFS(NhapLieu!$P$5:$P$34,NhapLieu!$A$5:$A$34,H$14)/H23)</f>
        <v/>
      </c>
      <c r="I35" s="26">
        <f>IF(I23=0,0,SUM(NhapLieu!$P$5:$P$34)/I23)</f>
        <v/>
      </c>
      <c r="J35" s="6" t="n"/>
      <c r="K35" s="6" t="inlineStr">
        <is>
          <t>Repeat Purchase Behavior</t>
        </is>
      </c>
    </row>
    <row r="36">
      <c r="A36" s="1" t="n"/>
      <c r="B36" s="6" t="inlineStr">
        <is>
          <t>Units qua ngoài sàn</t>
        </is>
      </c>
      <c r="C36" s="25">
        <f>SUMIFS(NhapLieu!$L$5:$L$34,NhapLieu!$A$5:$A$34,C$14)</f>
        <v/>
      </c>
      <c r="D36" s="25">
        <f>SUMIFS(NhapLieu!$L$5:$L$34,NhapLieu!$A$5:$A$34,D$14)</f>
        <v/>
      </c>
      <c r="E36" s="25">
        <f>SUMIFS(NhapLieu!$L$5:$L$34,NhapLieu!$A$5:$A$34,E$14)</f>
        <v/>
      </c>
      <c r="F36" s="25">
        <f>SUMIFS(NhapLieu!$L$5:$L$34,NhapLieu!$A$5:$A$34,F$14)</f>
        <v/>
      </c>
      <c r="G36" s="25">
        <f>SUMIFS(NhapLieu!$L$5:$L$34,NhapLieu!$A$5:$A$34,G$14)</f>
        <v/>
      </c>
      <c r="H36" s="25">
        <f>SUMIFS(NhapLieu!$L$5:$L$34,NhapLieu!$A$5:$A$34,H$14)</f>
        <v/>
      </c>
      <c r="I36" s="25">
        <f>SUM(C36:H36)</f>
        <v/>
      </c>
      <c r="J36" s="6" t="n"/>
      <c r="K36" s="6" t="inlineStr">
        <is>
          <t>Amazon Attribution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inlineStr">
        <is>
          <t>Tồn kho theo SKU đến hết tháng đang xem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5" t="inlineStr">
        <is>
          <t>SKU</t>
        </is>
      </c>
      <c r="C40" s="5" t="inlineStr">
        <is>
          <t>Tồn đầu kỳ</t>
        </is>
      </c>
      <c r="D40" s="5" t="inlineStr">
        <is>
          <t>Units bán lũy kế</t>
        </is>
      </c>
      <c r="E40" s="5" t="inlineStr">
        <is>
          <t>Tồn còn lại</t>
        </is>
      </c>
      <c r="F40" s="5" t="inlineStr">
        <is>
          <t>Sell-through</t>
        </is>
      </c>
      <c r="G40" s="5" t="inlineStr">
        <is>
          <t>Units tháng đang xem</t>
        </is>
      </c>
      <c r="H40" s="5" t="inlineStr">
        <is>
          <t>Tháng còn hàng (ước tính)</t>
        </is>
      </c>
      <c r="I40" s="5" t="inlineStr">
        <is>
          <t>Việc cần làm</t>
        </is>
      </c>
      <c r="J40" s="46" t="n"/>
      <c r="K40" s="47" t="n"/>
    </row>
    <row r="41">
      <c r="A41" s="1" t="n"/>
      <c r="B41" s="6" t="inlineStr">
        <is>
          <t>SP1</t>
        </is>
      </c>
      <c r="C41" s="48">
        <f>ThamSo!C20</f>
        <v/>
      </c>
      <c r="D41" s="6">
        <f>SUMIFS(NhapLieu!$H$5:$H$34,NhapLieu!$B$5:$B$34,B41,NhapLieu!$R$5:$R$34,"&lt;="&amp;$D$3)</f>
        <v/>
      </c>
      <c r="E41" s="6">
        <f>C41-D41</f>
        <v/>
      </c>
      <c r="F41" s="26">
        <f>IF(C41=0,0,D41/C41)</f>
        <v/>
      </c>
      <c r="G41" s="6">
        <f>SUMIFS(NhapLieu!$H$5:$H$34,NhapLieu!$B$5:$B$34,B41,NhapLieu!$A$5:$A$34,$C$3)</f>
        <v/>
      </c>
      <c r="H41" s="45">
        <f>IF(G41=0,"-",E41/G41)</f>
        <v/>
      </c>
      <c r="I41" s="6">
        <f>IF(E41&lt;=1,"Dừng quảng cáo biến thể còn ≤ 1 unit",IF(AND($D$3&gt;=5,E41&gt;2*G41*(7-$D$3)),"Tồn cao: bundle, coupon theo dịp tháng 3","Theo kế hoạch"))</f>
        <v/>
      </c>
      <c r="J41" s="6" t="n"/>
      <c r="K41" s="6" t="n"/>
    </row>
    <row r="42">
      <c r="A42" s="1" t="n"/>
      <c r="B42" s="6" t="inlineStr">
        <is>
          <t>SP2 xanh</t>
        </is>
      </c>
      <c r="C42" s="48">
        <f>ThamSo!C21</f>
        <v/>
      </c>
      <c r="D42" s="6">
        <f>SUMIFS(NhapLieu!$H$5:$H$34,NhapLieu!$B$5:$B$34,B42,NhapLieu!$R$5:$R$34,"&lt;="&amp;$D$3)</f>
        <v/>
      </c>
      <c r="E42" s="6">
        <f>C42-D42</f>
        <v/>
      </c>
      <c r="F42" s="26">
        <f>IF(C42=0,0,D42/C42)</f>
        <v/>
      </c>
      <c r="G42" s="6">
        <f>SUMIFS(NhapLieu!$H$5:$H$34,NhapLieu!$B$5:$B$34,B42,NhapLieu!$A$5:$A$34,$C$3)</f>
        <v/>
      </c>
      <c r="H42" s="45">
        <f>IF(G42=0,"-",E42/G42)</f>
        <v/>
      </c>
      <c r="I42" s="6">
        <f>IF(E42&lt;=1,"Dừng quảng cáo biến thể còn ≤ 1 unit",IF(AND($D$3&gt;=5,E42&gt;2*G42*(7-$D$3)),"Tồn cao: bundle, coupon theo dịp tháng 3","Theo kế hoạch"))</f>
        <v/>
      </c>
      <c r="J42" s="6" t="n"/>
      <c r="K42" s="6" t="n"/>
    </row>
    <row r="43">
      <c r="A43" s="1" t="n"/>
      <c r="B43" s="6" t="inlineStr">
        <is>
          <t>SP2 vàng</t>
        </is>
      </c>
      <c r="C43" s="48">
        <f>ThamSo!C22</f>
        <v/>
      </c>
      <c r="D43" s="6">
        <f>SUMIFS(NhapLieu!$H$5:$H$34,NhapLieu!$B$5:$B$34,B43,NhapLieu!$R$5:$R$34,"&lt;="&amp;$D$3)</f>
        <v/>
      </c>
      <c r="E43" s="6">
        <f>C43-D43</f>
        <v/>
      </c>
      <c r="F43" s="26">
        <f>IF(C43=0,0,D43/C43)</f>
        <v/>
      </c>
      <c r="G43" s="6">
        <f>SUMIFS(NhapLieu!$H$5:$H$34,NhapLieu!$B$5:$B$34,B43,NhapLieu!$A$5:$A$34,$C$3)</f>
        <v/>
      </c>
      <c r="H43" s="45">
        <f>IF(G43=0,"-",E43/G43)</f>
        <v/>
      </c>
      <c r="I43" s="6">
        <f>IF(E43&lt;=1,"Dừng quảng cáo biến thể còn ≤ 1 unit",IF(AND($D$3&gt;=5,E43&gt;2*G43*(7-$D$3)),"Tồn cao: bundle, coupon theo dịp tháng 3","Theo kế hoạch"))</f>
        <v/>
      </c>
      <c r="J43" s="6" t="n"/>
      <c r="K43" s="6" t="n"/>
    </row>
    <row r="44">
      <c r="A44" s="1" t="n"/>
      <c r="B44" s="6" t="inlineStr">
        <is>
          <t>SP3 đen</t>
        </is>
      </c>
      <c r="C44" s="48">
        <f>ThamSo!C23</f>
        <v/>
      </c>
      <c r="D44" s="6">
        <f>SUMIFS(NhapLieu!$H$5:$H$34,NhapLieu!$B$5:$B$34,B44,NhapLieu!$R$5:$R$34,"&lt;="&amp;$D$3)</f>
        <v/>
      </c>
      <c r="E44" s="6">
        <f>C44-D44</f>
        <v/>
      </c>
      <c r="F44" s="26">
        <f>IF(C44=0,0,D44/C44)</f>
        <v/>
      </c>
      <c r="G44" s="6">
        <f>SUMIFS(NhapLieu!$H$5:$H$34,NhapLieu!$B$5:$B$34,B44,NhapLieu!$A$5:$A$34,$C$3)</f>
        <v/>
      </c>
      <c r="H44" s="45">
        <f>IF(G44=0,"-",E44/G44)</f>
        <v/>
      </c>
      <c r="I44" s="6">
        <f>IF(E44&lt;=1,"Dừng quảng cáo biến thể còn ≤ 1 unit",IF(AND($D$3&gt;=5,E44&gt;2*G44*(7-$D$3)),"Tồn cao: bundle, coupon theo dịp tháng 3","Theo kế hoạch"))</f>
        <v/>
      </c>
      <c r="J44" s="6" t="n"/>
      <c r="K44" s="6" t="n"/>
    </row>
    <row r="45">
      <c r="A45" s="1" t="n"/>
      <c r="B45" s="6" t="inlineStr">
        <is>
          <t>SP3 hồng</t>
        </is>
      </c>
      <c r="C45" s="48">
        <f>ThamSo!C24</f>
        <v/>
      </c>
      <c r="D45" s="6">
        <f>SUMIFS(NhapLieu!$H$5:$H$34,NhapLieu!$B$5:$B$34,B45,NhapLieu!$R$5:$R$34,"&lt;="&amp;$D$3)</f>
        <v/>
      </c>
      <c r="E45" s="6">
        <f>C45-D45</f>
        <v/>
      </c>
      <c r="F45" s="26">
        <f>IF(C45=0,0,D45/C45)</f>
        <v/>
      </c>
      <c r="G45" s="6">
        <f>SUMIFS(NhapLieu!$H$5:$H$34,NhapLieu!$B$5:$B$34,B45,NhapLieu!$A$5:$A$34,$C$3)</f>
        <v/>
      </c>
      <c r="H45" s="45">
        <f>IF(G45=0,"-",E45/G45)</f>
        <v/>
      </c>
      <c r="I45" s="6">
        <f>IF(E45&lt;=1,"Dừng quảng cáo biến thể còn ≤ 1 unit",IF(AND($D$3&gt;=5,E45&gt;2*G45*(7-$D$3)),"Tồn cao: bundle, coupon theo dịp tháng 3","Theo kế hoạch"))</f>
        <v/>
      </c>
      <c r="J45" s="6" t="n"/>
      <c r="K45" s="6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4" t="inlineStr">
        <is>
          <t>Dữ liệu cho biểu đồ</t>
        </is>
      </c>
      <c r="C48" s="6" t="inlineStr">
        <is>
          <t>T10</t>
        </is>
      </c>
      <c r="D48" s="6" t="inlineStr">
        <is>
          <t>T11</t>
        </is>
      </c>
      <c r="E48" s="6" t="inlineStr">
        <is>
          <t>T12</t>
        </is>
      </c>
      <c r="F48" s="6" t="inlineStr">
        <is>
          <t>T1</t>
        </is>
      </c>
      <c r="G48" s="6" t="inlineStr">
        <is>
          <t>T2</t>
        </is>
      </c>
      <c r="H48" s="6" t="inlineStr">
        <is>
          <t>T3</t>
        </is>
      </c>
      <c r="I48" s="1" t="n"/>
      <c r="J48" s="1" t="n"/>
      <c r="K48" s="1" t="n"/>
    </row>
    <row r="49">
      <c r="A49" s="1" t="n"/>
      <c r="B49" s="6" t="inlineStr">
        <is>
          <t>Units thực tế</t>
        </is>
      </c>
      <c r="C49" s="6">
        <f>C23</f>
        <v/>
      </c>
      <c r="D49" s="6">
        <f>D23</f>
        <v/>
      </c>
      <c r="E49" s="6">
        <f>E23</f>
        <v/>
      </c>
      <c r="F49" s="6">
        <f>F23</f>
        <v/>
      </c>
      <c r="G49" s="6">
        <f>G23</f>
        <v/>
      </c>
      <c r="H49" s="6">
        <f>H23</f>
        <v/>
      </c>
      <c r="I49" s="1" t="n"/>
      <c r="J49" s="1" t="n"/>
      <c r="K49" s="1" t="n"/>
    </row>
    <row r="50">
      <c r="A50" s="1" t="n"/>
      <c r="B50" s="6" t="inlineStr">
        <is>
          <t>Units kế hoạch cơ sở</t>
        </is>
      </c>
      <c r="C50" s="6">
        <f>KeHoach!C13</f>
        <v/>
      </c>
      <c r="D50" s="6">
        <f>KeHoach!D13</f>
        <v/>
      </c>
      <c r="E50" s="6">
        <f>KeHoach!E13</f>
        <v/>
      </c>
      <c r="F50" s="6">
        <f>KeHoach!F13</f>
        <v/>
      </c>
      <c r="G50" s="6">
        <f>KeHoach!G13</f>
        <v/>
      </c>
      <c r="H50" s="6">
        <f>KeHoach!H13</f>
        <v/>
      </c>
      <c r="I50" s="1" t="n"/>
      <c r="J50" s="1" t="n"/>
      <c r="K50" s="1" t="n"/>
    </row>
    <row r="51">
      <c r="A51" s="1" t="n"/>
      <c r="B51" s="6" t="inlineStr">
        <is>
          <t>Units kế hoạch mục tiêu</t>
        </is>
      </c>
      <c r="C51" s="6">
        <f>KeHoach!C28</f>
        <v/>
      </c>
      <c r="D51" s="6">
        <f>KeHoach!D28</f>
        <v/>
      </c>
      <c r="E51" s="6">
        <f>KeHoach!E28</f>
        <v/>
      </c>
      <c r="F51" s="6">
        <f>KeHoach!F28</f>
        <v/>
      </c>
      <c r="G51" s="6">
        <f>KeHoach!G28</f>
        <v/>
      </c>
      <c r="H51" s="6">
        <f>KeHoach!H28</f>
        <v/>
      </c>
      <c r="I51" s="1" t="n"/>
      <c r="J51" s="1" t="n"/>
      <c r="K51" s="1" t="n"/>
    </row>
    <row r="52">
      <c r="A52" s="1" t="n"/>
      <c r="B52" s="6" t="inlineStr">
        <is>
          <t>Sell-through thực tế</t>
        </is>
      </c>
      <c r="C52" s="26">
        <f>C26</f>
        <v/>
      </c>
      <c r="D52" s="26">
        <f>D26</f>
        <v/>
      </c>
      <c r="E52" s="26">
        <f>E26</f>
        <v/>
      </c>
      <c r="F52" s="26">
        <f>F26</f>
        <v/>
      </c>
      <c r="G52" s="26">
        <f>G26</f>
        <v/>
      </c>
      <c r="H52" s="26">
        <f>H26</f>
        <v/>
      </c>
      <c r="I52" s="1" t="n"/>
      <c r="J52" s="1" t="n"/>
      <c r="K52" s="1" t="n"/>
    </row>
    <row r="53">
      <c r="A53" s="1" t="n"/>
      <c r="B53" s="6" t="inlineStr">
        <is>
          <t>Sell-through cơ sở</t>
        </is>
      </c>
      <c r="C53" s="26">
        <f>KeHoach!C15</f>
        <v/>
      </c>
      <c r="D53" s="26">
        <f>KeHoach!D15</f>
        <v/>
      </c>
      <c r="E53" s="26">
        <f>KeHoach!E15</f>
        <v/>
      </c>
      <c r="F53" s="26">
        <f>KeHoach!F15</f>
        <v/>
      </c>
      <c r="G53" s="26">
        <f>KeHoach!G15</f>
        <v/>
      </c>
      <c r="H53" s="26">
        <f>KeHoach!H15</f>
        <v/>
      </c>
      <c r="I53" s="1" t="n"/>
      <c r="J53" s="1" t="n"/>
      <c r="K53" s="1" t="n"/>
    </row>
    <row r="54">
      <c r="A54" s="1" t="n"/>
      <c r="B54" s="6" t="inlineStr">
        <is>
          <t>Sell-through mục tiêu</t>
        </is>
      </c>
      <c r="C54" s="26">
        <f>KeHoach!C30</f>
        <v/>
      </c>
      <c r="D54" s="26">
        <f>KeHoach!D30</f>
        <v/>
      </c>
      <c r="E54" s="26">
        <f>KeHoach!E30</f>
        <v/>
      </c>
      <c r="F54" s="26">
        <f>KeHoach!F30</f>
        <v/>
      </c>
      <c r="G54" s="26">
        <f>KeHoach!G30</f>
        <v/>
      </c>
      <c r="H54" s="26">
        <f>KeHoach!H30</f>
        <v/>
      </c>
      <c r="I54" s="1" t="n"/>
      <c r="J54" s="1" t="n"/>
      <c r="K54" s="1" t="n"/>
    </row>
  </sheetData>
  <mergeCells count="6">
    <mergeCell ref="I41:K41"/>
    <mergeCell ref="I42:K42"/>
    <mergeCell ref="I45:K45"/>
    <mergeCell ref="I43:K43"/>
    <mergeCell ref="I40:K40"/>
    <mergeCell ref="I44:K44"/>
  </mergeCells>
  <conditionalFormatting sqref="F6:F11">
    <cfRule type="cellIs" priority="1" operator="equal" dxfId="0">
      <formula>"Đạt"</formula>
    </cfRule>
    <cfRule type="cellIs" priority="2" operator="equal" dxfId="1">
      <formula>"Theo dõi"</formula>
    </cfRule>
    <cfRule type="cellIs" priority="3" operator="equal" dxfId="2">
      <formula>"Cảnh báo"</formula>
    </cfRule>
  </conditionalFormatting>
  <conditionalFormatting sqref="J15:J36">
    <cfRule type="cellIs" priority="4" operator="equal" dxfId="0">
      <formula>"Đạt"</formula>
    </cfRule>
    <cfRule type="cellIs" priority="5" operator="equal" dxfId="1">
      <formula>"Theo dõi"</formula>
    </cfRule>
    <cfRule type="cellIs" priority="6" operator="equal" dxfId="2">
      <formula>"Cảnh báo"</formula>
    </cfRule>
  </conditionalFormatting>
  <conditionalFormatting sqref="I41:I45">
    <cfRule type="expression" priority="7" dxfId="2">
      <formula>LEFT(I41,4)="Dừng"</formula>
    </cfRule>
    <cfRule type="expression" priority="8" dxfId="1">
      <formula>LEFT(I41,3)="Tồn"</formula>
    </cfRule>
  </conditionalFormatting>
  <dataValidations count="1">
    <dataValidation sqref="C3" showDropDown="0" showInputMessage="0" showErrorMessage="0" allowBlank="0" type="list">
      <formula1>ThamSo!$B$28:$B$33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2026-09-30T19:23:16Z</dcterms:created>
  <dcterms:modified xmlns:dcterms="http://purl.org/dc/terms/" xmlns:xsi="http://www.w3.org/2001/XMLSchema-instance" xsi:type="dcterms:W3CDTF">2026-09-30T19:23:16Z</dcterms:modified>
</cp:coreProperties>
</file>